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JT\Downloads\"/>
    </mc:Choice>
  </mc:AlternateContent>
  <bookViews>
    <workbookView xWindow="0" yWindow="0" windowWidth="19200" windowHeight="6930" tabRatio="727" activeTab="1"/>
  </bookViews>
  <sheets>
    <sheet name="Scheduled" sheetId="1" r:id="rId1"/>
    <sheet name="Unscheduled" sheetId="2" r:id="rId2"/>
  </sheets>
  <definedNames>
    <definedName name="_xlnm._FilterDatabase" localSheetId="0" hidden="1">Scheduled!$A$1:$K$98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25" i="2" l="1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" i="2"/>
</calcChain>
</file>

<file path=xl/sharedStrings.xml><?xml version="1.0" encoding="utf-8"?>
<sst xmlns="http://schemas.openxmlformats.org/spreadsheetml/2006/main" count="1209" uniqueCount="417">
  <si>
    <t>PM</t>
  </si>
  <si>
    <t>SSDG Count</t>
  </si>
  <si>
    <t>SSDG Personnel</t>
  </si>
  <si>
    <t>LASLASONG NORTE COVERED COURT, STA MARIA</t>
  </si>
  <si>
    <t>HBR</t>
  </si>
  <si>
    <t xml:space="preserve"> ILOCOS SUR</t>
  </si>
  <si>
    <t xml:space="preserve"> STA MARIA</t>
  </si>
  <si>
    <t>Kriztel, Rudel, Mark Jayson, Jonathan</t>
  </si>
  <si>
    <t>BOLBOLO, PILAR BRGY. HALL</t>
  </si>
  <si>
    <t>AGN</t>
  </si>
  <si>
    <t xml:space="preserve"> ABRA</t>
  </si>
  <si>
    <t xml:space="preserve"> PILAR</t>
  </si>
  <si>
    <t>Gilbert, Cherry, Blessie, John Rey</t>
  </si>
  <si>
    <t>BRGY KALUMSING COVERED COURT</t>
  </si>
  <si>
    <t>ADM</t>
  </si>
  <si>
    <t xml:space="preserve"> SAN EMILIO</t>
  </si>
  <si>
    <t>Angelo, Recel, Dan</t>
  </si>
  <si>
    <t>BUGNAY BARANGAY PLAZA</t>
  </si>
  <si>
    <t>RVR</t>
  </si>
  <si>
    <t xml:space="preserve"> CANDON</t>
  </si>
  <si>
    <t>Natasha, Joy-Anne, Rodante, Renante</t>
  </si>
  <si>
    <t>MABUTI BARANGAY HALL</t>
  </si>
  <si>
    <t>WDS</t>
  </si>
  <si>
    <t xml:space="preserve"> ILOCOS NORTE</t>
  </si>
  <si>
    <t xml:space="preserve"> MARCOS</t>
  </si>
  <si>
    <t>Jerson, Ryan, Noble</t>
  </si>
  <si>
    <t>ESTER BRGY HALL</t>
  </si>
  <si>
    <t>MDL</t>
  </si>
  <si>
    <t xml:space="preserve"> VINTAR</t>
  </si>
  <si>
    <t>Joel, Glenn, Arvee, Jayzer, Erl</t>
  </si>
  <si>
    <t>SACRITAN BARANGAY HALL, SACRITAN, PINILI, ILOCOS NORTE</t>
  </si>
  <si>
    <t>WDM</t>
  </si>
  <si>
    <t xml:space="preserve"> PINILI</t>
  </si>
  <si>
    <t>ALLANGIGAN SEGUNDO BARANGAY PLAZA</t>
  </si>
  <si>
    <t>FL RAYMOND BERONILLA RESIDENCE SALUCAG, DOLORES</t>
  </si>
  <si>
    <t xml:space="preserve"> DOLORES</t>
  </si>
  <si>
    <t>Gilbert, Blessie</t>
  </si>
  <si>
    <t>IMELDA-CAPARIAAN BARANGAY HALL</t>
  </si>
  <si>
    <t>KINABITI, PILAR BRGY. HALL</t>
  </si>
  <si>
    <t>Cherry, John Rey</t>
  </si>
  <si>
    <t>LILIPUTEN BARANGAY HALL, LILIPUTEN, PINILI, ILOCOS NORTE</t>
  </si>
  <si>
    <t>BRGY SIBSIBBU COVERED COURT</t>
  </si>
  <si>
    <t>SAN NICOLAS DA OFFICE</t>
  </si>
  <si>
    <t xml:space="preserve"> SAN NICOLAS</t>
  </si>
  <si>
    <t>NAGSAYAOAN COVERED COURT, STA MARIA</t>
  </si>
  <si>
    <t xml:space="preserve"> NARVACAN</t>
  </si>
  <si>
    <t>MUNICIPAL COVERED COURT,NAGBUKEL I.S</t>
  </si>
  <si>
    <t>RSG</t>
  </si>
  <si>
    <t>Natasha, Joy-Anne, Rodante, Renante, Angelo, Recel, Dan, Domerson</t>
  </si>
  <si>
    <t>VELASCO, TAYUM BRGY. HALL</t>
  </si>
  <si>
    <t xml:space="preserve"> TAYUM</t>
  </si>
  <si>
    <t>LAOAG CITY DA OFFICE</t>
  </si>
  <si>
    <t xml:space="preserve"> LAOAG</t>
  </si>
  <si>
    <t>Joel, Glenn, Arvee, Jayzer</t>
  </si>
  <si>
    <t>SUCSUQUEN BRGY HALL</t>
  </si>
  <si>
    <t xml:space="preserve"> PIDDIG</t>
  </si>
  <si>
    <t>Jerson, Ryan, Noble, Erl</t>
  </si>
  <si>
    <t>SALANAP BARANGAY HALL, SALANAP, PINILI, ILOCOS NORTE</t>
  </si>
  <si>
    <t xml:space="preserve"> We-Ann, Arnelyn, Limwel, Alma</t>
  </si>
  <si>
    <t>BANGBANGAR COVERED COURT</t>
  </si>
  <si>
    <t>ACM</t>
  </si>
  <si>
    <t>ILOCOS SUR</t>
  </si>
  <si>
    <t>BURGOS</t>
  </si>
  <si>
    <t>*Kriztel, Rudel, Mark Jayson, Jonathan</t>
  </si>
  <si>
    <t>BUDAC, TAYUM BRGY. HALL</t>
  </si>
  <si>
    <t>BUNGRO BARANGAY HALL, BUNGRO, PINILI, ILOCOS NORTE</t>
  </si>
  <si>
    <t>LANCUAS COVERED COURT</t>
  </si>
  <si>
    <t>*Angelo, Recel, Dan, Domerson</t>
  </si>
  <si>
    <t>POB. SUR COVERED COURT</t>
  </si>
  <si>
    <t xml:space="preserve"> LIDLIDDA</t>
  </si>
  <si>
    <t xml:space="preserve">*Natasha, Joy-Anne, Rodante, Renante, </t>
  </si>
  <si>
    <t>SAN JUAN SARRAT COVERED COURT</t>
  </si>
  <si>
    <t xml:space="preserve"> SARRAT</t>
  </si>
  <si>
    <t>TANGAOAN BRGY HALL</t>
  </si>
  <si>
    <t>TANGAOAN COVERED COURT, STA MARIA</t>
  </si>
  <si>
    <t xml:space="preserve"> We-Ann, Arnelyn, Limwel</t>
  </si>
  <si>
    <t>MUNICIPAL COVERED COURT,NARVACAN I.S</t>
  </si>
  <si>
    <t>SAN JUAN EAST, PILAR BRGY. HALL</t>
  </si>
  <si>
    <t>DARUPIDIP, BRGY HALL</t>
  </si>
  <si>
    <t xml:space="preserve"> PASUQUIN</t>
  </si>
  <si>
    <t>LAGANDIT BRGY HALL</t>
  </si>
  <si>
    <t>GAPANG, PILAR GYMNASIUM</t>
  </si>
  <si>
    <t>CALAMBEG BRGY HALL</t>
  </si>
  <si>
    <t>SAN PEDRO COVERED COURT</t>
  </si>
  <si>
    <t xml:space="preserve"> BATAC</t>
  </si>
  <si>
    <t>CABAROAN COVERED COURT, STA MARIA</t>
  </si>
  <si>
    <t>Angelo, Recel, Dan, Domerson, Natasha, Joy-Anne, Rodante, Renante</t>
  </si>
  <si>
    <t>NAGTENGNGA BRGY. PLAZA, STA CRUZ, ILOCOS SUR</t>
  </si>
  <si>
    <t>JAD</t>
  </si>
  <si>
    <t xml:space="preserve"> STA CRUZ</t>
  </si>
  <si>
    <t>POBLACION, PILAR BRGY. HALL</t>
  </si>
  <si>
    <t>SAN MARCELINO BARANGAY HALL</t>
  </si>
  <si>
    <t xml:space="preserve"> DINGRAS</t>
  </si>
  <si>
    <t>SAN ANTONIO BRGY HALL</t>
  </si>
  <si>
    <t>PALTOC COVERED COURT</t>
  </si>
  <si>
    <t>BIDBIDAY BRGY. HALL</t>
  </si>
  <si>
    <t>GALIMUYOD</t>
  </si>
  <si>
    <t xml:space="preserve"> We-Ann, Arnelyn</t>
  </si>
  <si>
    <t>BOROBOR BRGY. HALL</t>
  </si>
  <si>
    <t>Limwel, Alma</t>
  </si>
  <si>
    <t>DALIT, PILAR BRGY. HALL</t>
  </si>
  <si>
    <t>GARNADEN BARANGAY HALL, NUEVA ERA, ILOCOS NORTE</t>
  </si>
  <si>
    <t xml:space="preserve"> NUEVA ERA</t>
  </si>
  <si>
    <t>TUQUIB, VIIAVICIOSA COVERED COURT</t>
  </si>
  <si>
    <t xml:space="preserve"> VILLAVICIOSA</t>
  </si>
  <si>
    <t>ESTANCIA BRGY HALL</t>
  </si>
  <si>
    <t>GUSING COVERED COURT, STA MARIA</t>
  </si>
  <si>
    <t xml:space="preserve"> We-Ann, Arnelyn, Limwel, Alma, Kriztel, Domerson</t>
  </si>
  <si>
    <t>BESSANG COVERED COURT</t>
  </si>
  <si>
    <t>Angelo, Mark Jayson, Jonathan</t>
  </si>
  <si>
    <t>BITONG BRGY. HALL</t>
  </si>
  <si>
    <t>Recel, Dan, Rudel, Rodante</t>
  </si>
  <si>
    <t>REYNALDO TABON RESIDENCE</t>
  </si>
  <si>
    <t>BANAYOYO</t>
  </si>
  <si>
    <t>Natasha, Joy-Anne, Renante</t>
  </si>
  <si>
    <t>SAN ISIDRO MUNICIPAL COVERED COURT</t>
  </si>
  <si>
    <t xml:space="preserve"> SAN ISIDRO</t>
  </si>
  <si>
    <t>MADUPAYAS BARANGAY HALL, BADOC, ILOCOS NORTE</t>
  </si>
  <si>
    <t xml:space="preserve"> BADOC</t>
  </si>
  <si>
    <t>BAGBAGOTOT COVERED COURT</t>
  </si>
  <si>
    <t>JACK BISALA RESIDENCE COSILI EAST-PROPER, BANGUED</t>
  </si>
  <si>
    <t xml:space="preserve"> BANGUED</t>
  </si>
  <si>
    <t>LEGASPI BRGY. HALL</t>
  </si>
  <si>
    <t>SABANGAN PINGAN COVERED COURT</t>
  </si>
  <si>
    <t>SABTAN-OLO, SAN ISIDRO COVRERED COURT</t>
  </si>
  <si>
    <t>ALEJO MALASIG BRGY HALL</t>
  </si>
  <si>
    <t>UGUIS BARANGAY HALL, NUEVA ERA, ILOCOS NORTE</t>
  </si>
  <si>
    <t>LUBING COVERED COURT</t>
  </si>
  <si>
    <t>Kriztel, Domerson</t>
  </si>
  <si>
    <t>LUNA COVERED COURT</t>
  </si>
  <si>
    <t>Jerson, Joel</t>
  </si>
  <si>
    <t>PANG-OT, PILAR BRGY. HALL</t>
  </si>
  <si>
    <t>BRGY. LEET - FL JERRY MOLINA RES.</t>
  </si>
  <si>
    <t>RAG</t>
  </si>
  <si>
    <t xml:space="preserve"> PANGASINAN</t>
  </si>
  <si>
    <t xml:space="preserve"> STA BARBARA</t>
  </si>
  <si>
    <t>Natasha, Joy-Anne, Recel, Rudel, Jonathan</t>
  </si>
  <si>
    <t>FL RESIDENCE, CABITTAURAN, NUEVA ERA</t>
  </si>
  <si>
    <t>Glenn, Arvee, Jayzer</t>
  </si>
  <si>
    <t>BRGY. BANZAL - FL AGUSTIN MANUELK RES.</t>
  </si>
  <si>
    <t>PATAC BRGY. HALL</t>
  </si>
  <si>
    <t>TIKITIK, PILAR BRGY. HALL</t>
  </si>
  <si>
    <t>Target</t>
  </si>
  <si>
    <t>BAGANI UBBOG BARANGAY PLAZA</t>
  </si>
  <si>
    <t>BOMITOG BARANGAY HALL</t>
  </si>
  <si>
    <t xml:space="preserve"> BANNA</t>
  </si>
  <si>
    <t>CABAROAN BRGY. HALL</t>
  </si>
  <si>
    <t>SAN ESTEBAN</t>
  </si>
  <si>
    <t>DACUTAN COVERED COURT</t>
  </si>
  <si>
    <t>DPO</t>
  </si>
  <si>
    <t xml:space="preserve"> TAGUDIN</t>
  </si>
  <si>
    <t>LANG-AYAN, COVERED COURT</t>
  </si>
  <si>
    <t>SANTIAGO</t>
  </si>
  <si>
    <t>NAGPANAOAN COVERED COURT</t>
  </si>
  <si>
    <t>SAN JUAN MUNICIPAL HALL</t>
  </si>
  <si>
    <t xml:space="preserve"> SAN JUAN</t>
  </si>
  <si>
    <t>TUBO MUNICIPAL NURSERY</t>
  </si>
  <si>
    <t xml:space="preserve"> TUBO</t>
  </si>
  <si>
    <t>BUNGON COMMUNITY CENTER</t>
  </si>
  <si>
    <t>SAN FELIPE BRGY. HALL</t>
  </si>
  <si>
    <t xml:space="preserve"> TARLAC</t>
  </si>
  <si>
    <t xml:space="preserve"> MONCADA</t>
  </si>
  <si>
    <t xml:space="preserve"> SAN MANUEL</t>
  </si>
  <si>
    <t>Date</t>
  </si>
  <si>
    <t>Venue</t>
  </si>
  <si>
    <t>Province</t>
  </si>
  <si>
    <t>Municipality</t>
  </si>
  <si>
    <t>BINACAG BARANGAY HALL</t>
  </si>
  <si>
    <t>CABCABURAO COVERED COURT</t>
  </si>
  <si>
    <t>CAPPA-CAPPA BRGY. HALL</t>
  </si>
  <si>
    <t>MAMBUG COVERED COURT</t>
  </si>
  <si>
    <t>MANGANDINGAY BRGY HALL</t>
  </si>
  <si>
    <t>RANGET BRGY HALL</t>
  </si>
  <si>
    <t>RAPANUT, ORLANDO GALANTO RESIDENCE</t>
  </si>
  <si>
    <t>BULBULALA BRGY HALL</t>
  </si>
  <si>
    <t xml:space="preserve">BRGY. STA MONICA - FL ROLANDO BACANI RES. </t>
  </si>
  <si>
    <t>ALILEM MINI CONVENTION CENTER</t>
  </si>
  <si>
    <t xml:space="preserve"> ALILEM</t>
  </si>
  <si>
    <t>ALINAYA, PIDIGAN BRGY. HALL/COVERED COURT</t>
  </si>
  <si>
    <t xml:space="preserve"> PIDIGAN</t>
  </si>
  <si>
    <t>ANSAD BRGY. HALL</t>
  </si>
  <si>
    <t>BACSIL BARANGAY HALL</t>
  </si>
  <si>
    <t>BANAY, BRGY. PLAZA, STA CRUZ, ILOCOS SUR</t>
  </si>
  <si>
    <t>BULBULALA COVERED COURT</t>
  </si>
  <si>
    <t>BULICLIC BRGY. PLAZA, STA LUCIA, ILOCOS SUR</t>
  </si>
  <si>
    <t xml:space="preserve"> STA LUCIA</t>
  </si>
  <si>
    <t>GADONG, RENATO GRAMAJE RESIDENCE</t>
  </si>
  <si>
    <t>LAP-LAPOG, VILLAVICIOSA FARMERS TRAINING CENTER</t>
  </si>
  <si>
    <t>MANABOC COVERED COURT</t>
  </si>
  <si>
    <t>NAGPATAYAN BARANGAY HALL</t>
  </si>
  <si>
    <t>PARIOC SEGUNDO BARANGAY PLAZA</t>
  </si>
  <si>
    <t>SOUTH BALIOAG, PILAR COVERED COURT</t>
  </si>
  <si>
    <t>ESTEBENSON, PDRON RES.</t>
  </si>
  <si>
    <t xml:space="preserve"> BACARRA</t>
  </si>
  <si>
    <t>ISIC-ISIC BRGY HALL</t>
  </si>
  <si>
    <t>BRGY TOLEGA NORTE - FC LORETO BARTOLOME RES.</t>
  </si>
  <si>
    <t>POBLACION-MADAYAO, SIGAY, ILOCOS SUR</t>
  </si>
  <si>
    <t xml:space="preserve"> SIGAY</t>
  </si>
  <si>
    <t>TIAGAN COVERED COURT</t>
  </si>
  <si>
    <t>BAGAR BARANGAY PLAZA</t>
  </si>
  <si>
    <t>BRGY. COLIBANGBANG - FC CHRISTIAN CAINGLET RES.</t>
  </si>
  <si>
    <t xml:space="preserve"> PANIQUI</t>
  </si>
  <si>
    <t>CAL-LAO, VILLAVICIOSA COVERED COURT</t>
  </si>
  <si>
    <t>CALONGBUYAN BRGY. HALL</t>
  </si>
  <si>
    <t>CONCEPCION, BRGY. HALL</t>
  </si>
  <si>
    <t xml:space="preserve"> GREGORIO DEL PILAR</t>
  </si>
  <si>
    <t>CUBCUBBOOT BARANGAY PLAZA</t>
  </si>
  <si>
    <t>IMELDA BARANGAY HALL</t>
  </si>
  <si>
    <t>LANTAG BRGY. PLAZA, STA CRUZ, ILOCOS SUR</t>
  </si>
  <si>
    <t>NAMATICAN BRGY. PLAZA, STA LUCIA, ILOCOS SUR</t>
  </si>
  <si>
    <t>NARNARA, PILAR COVERED COURT</t>
  </si>
  <si>
    <t>OLD CENTRAL BRGY HALL</t>
  </si>
  <si>
    <t xml:space="preserve"> LA UNION</t>
  </si>
  <si>
    <t xml:space="preserve"> SUDIPEN</t>
  </si>
  <si>
    <t>SALINCUB COVERED COURT</t>
  </si>
  <si>
    <t>SALUDARES BARANGAY HALL</t>
  </si>
  <si>
    <t>SITIO NAGDAINGAN PANTUD, PIDIGAN BRGY. HALL/ COVERED COURT</t>
  </si>
  <si>
    <t>CABAYO BRGY HALL</t>
  </si>
  <si>
    <t>COLUMBIA BRGY HALL</t>
  </si>
  <si>
    <t>ARAB, PIDIGAN BRGY. HALL</t>
  </si>
  <si>
    <t>AR-ARAMPANG COVERED COURT</t>
  </si>
  <si>
    <t xml:space="preserve"> BALAOAN</t>
  </si>
  <si>
    <t>BARBARANGAY BARANGAY HALL</t>
  </si>
  <si>
    <t>BOLILISING, VILLAVICIOSA COVERED COURT</t>
  </si>
  <si>
    <t>BUCLOC MUNICIPAL  HALL</t>
  </si>
  <si>
    <t xml:space="preserve"> BUCLOC</t>
  </si>
  <si>
    <t>BUGBUGA BRGY. PLAZA, STA CRUZ, ILOCOS SUR</t>
  </si>
  <si>
    <t>CALLITONG COVERED COURT</t>
  </si>
  <si>
    <t>CALUMBAYA BRGY. HALL</t>
  </si>
  <si>
    <t>CATANGRARAN BARANGAY HALL</t>
  </si>
  <si>
    <t xml:space="preserve"> SOLSONA</t>
  </si>
  <si>
    <t>CATERMAN BARANGAY PLAZA</t>
  </si>
  <si>
    <t>EDGARDO ANGA-ANGAN RESIDENCE</t>
  </si>
  <si>
    <t>LABUT COVERED COURT</t>
  </si>
  <si>
    <t>NAGCANASAN, PILAR COVERED COURT</t>
  </si>
  <si>
    <t>PALALI SUR BRGY. PLAZA, STA LUCIA, ILOCOS SUR</t>
  </si>
  <si>
    <t>CALANGCUASAN BARANGAY PLAZA</t>
  </si>
  <si>
    <t xml:space="preserve"> SALCEDO</t>
  </si>
  <si>
    <t>DIPILAT BRGY HALL</t>
  </si>
  <si>
    <t>SAN MATEO COMMUNITY CENTER</t>
  </si>
  <si>
    <t>ALFONSO COVERED COURT</t>
  </si>
  <si>
    <t>BRGY. HALL VACANTE</t>
  </si>
  <si>
    <t xml:space="preserve"> ALCALA</t>
  </si>
  <si>
    <t>CAYUS COVERED COURT</t>
  </si>
  <si>
    <t xml:space="preserve"> QUIRINO</t>
  </si>
  <si>
    <t>TUROD BARANGAY HALL, TUROD, BADOC, ILOCOS NORTE</t>
  </si>
  <si>
    <t>BALUGANG COVERED COURT</t>
  </si>
  <si>
    <t>BRGY. HALL SAN PEDRO APARTADO</t>
  </si>
  <si>
    <t>CARIBQUIB BARANGAY HALL</t>
  </si>
  <si>
    <t>MANALPAC (DANILO MACNI RESIDENCE)</t>
  </si>
  <si>
    <t>ORTEGA COVERED COURT</t>
  </si>
  <si>
    <t xml:space="preserve"> BACNOTAN</t>
  </si>
  <si>
    <t>PADUROS COVERED COURT</t>
  </si>
  <si>
    <t>SALLAPADAN DA OFFICE</t>
  </si>
  <si>
    <t xml:space="preserve"> SALLAPADAN</t>
  </si>
  <si>
    <t>SAN PEDRO BRGY. PLAZA, STA CRUZ, ILOCOS SUR</t>
  </si>
  <si>
    <t>SAPANG BRGY. PLAZA, STA LUCIA, ILOCOS SUR</t>
  </si>
  <si>
    <t>SITIO DAGMAN COVERED COURT</t>
  </si>
  <si>
    <t>SORIOAN BARANGAY PLAZA</t>
  </si>
  <si>
    <t>TABLAC BARANGAY PLAZA</t>
  </si>
  <si>
    <t>TOON, LA PAZ BRGY. HALL/COVERED COURT</t>
  </si>
  <si>
    <t>TUBALINA COVERED COURT</t>
  </si>
  <si>
    <t>UBBOG COVERED COURT</t>
  </si>
  <si>
    <t>STA CRUZ SUR BARANGAY HALL, BADOC, ILOCOS NORTE</t>
  </si>
  <si>
    <t>VISAYA BRGY HALL</t>
  </si>
  <si>
    <t>BRGY. HALL PINDANGAN CENTRO</t>
  </si>
  <si>
    <t>AGTIPAL BRGY HALL</t>
  </si>
  <si>
    <t>ANDREA REYES RESIDENCE</t>
  </si>
  <si>
    <t>BARIT, LUBA BRGY. HALL/ COVERED COURT</t>
  </si>
  <si>
    <t xml:space="preserve"> LUBA</t>
  </si>
  <si>
    <t>DIRDIRIG COVERED COURT</t>
  </si>
  <si>
    <t>GAPANG, PILAR BRGY. HALL</t>
  </si>
  <si>
    <t>LANGLANGCA PRIMERO BARANGAY PLAZA</t>
  </si>
  <si>
    <t>NAGREBCAN BRGY. PLAZA, STA LUCIA, ILOCOS SUR</t>
  </si>
  <si>
    <t>POBLACION, LICUAN-BAAY BRGY. HALL</t>
  </si>
  <si>
    <t xml:space="preserve"> LICUAN-BAAY</t>
  </si>
  <si>
    <t>BANGUI MUNICIPAL AGRICULLTURE OFFICE</t>
  </si>
  <si>
    <t xml:space="preserve"> BANGUI</t>
  </si>
  <si>
    <t>DAGUPAN BRGY HALL</t>
  </si>
  <si>
    <t>JIMENEZ, RUFO PEDRITO RESIDENCE</t>
  </si>
  <si>
    <t>BRGY. HALL SAN NARCISO</t>
  </si>
  <si>
    <t>CAMANGA BARANGAY HALL, BADOC, ILOCOS NORTE</t>
  </si>
  <si>
    <t>DA EXTENSION OFFICE,NAGSANGALAN VIGAN CITY</t>
  </si>
  <si>
    <t>BRGY. HALL SAN RAYMUNDO</t>
  </si>
  <si>
    <t>CAPARIAAN BRGY. PLAZA, STA CRUZ, ILOCOS SUR</t>
  </si>
  <si>
    <t>CULIONG BARANGAY PLAZA</t>
  </si>
  <si>
    <t>DANGDANGLA BRGY HALL</t>
  </si>
  <si>
    <t>ESCODA BARANGAY HALL</t>
  </si>
  <si>
    <t>LANGLANGCA SEGUNDO BARANGAY PLAZA</t>
  </si>
  <si>
    <t>NAGUIMBA COVERED COURT</t>
  </si>
  <si>
    <t>POB., LUBA BRGY. HALL/COVERED COURT</t>
  </si>
  <si>
    <t>TALIAO COVERED COURT</t>
  </si>
  <si>
    <t>BUDUAN BRGY HALL</t>
  </si>
  <si>
    <t xml:space="preserve"> BURGOS</t>
  </si>
  <si>
    <t>ESPERANZA BRGY HALL</t>
  </si>
  <si>
    <t>CADAANAN DINTAN,PILAR TREE PARK</t>
  </si>
  <si>
    <t>LABON, BUCAY COVERED COURT</t>
  </si>
  <si>
    <t xml:space="preserve"> BUCAY</t>
  </si>
  <si>
    <t>MANAYDAY, SAN ISIDRO COVERED COURT</t>
  </si>
  <si>
    <t>PATAD, PILAR COVERED COURT</t>
  </si>
  <si>
    <t>SAN FRANCISCO SUR COVERED COURT</t>
  </si>
  <si>
    <t>BRGY. HALL CARAMUTAN</t>
  </si>
  <si>
    <t>CARASI, MUNICIPAL HALL</t>
  </si>
  <si>
    <t xml:space="preserve"> CARASI</t>
  </si>
  <si>
    <t>DAMPIG BRGY HALL</t>
  </si>
  <si>
    <t xml:space="preserve"> PAGUDPUD</t>
  </si>
  <si>
    <t>LIBANG BRGY HALL</t>
  </si>
  <si>
    <t xml:space="preserve"> CERVANTES</t>
  </si>
  <si>
    <t>BRGY. HALL DOMINGO ALARCIO</t>
  </si>
  <si>
    <t xml:space="preserve"> LAOAC</t>
  </si>
  <si>
    <t>SINAPANGAN SUR COVERED COURT</t>
  </si>
  <si>
    <t xml:space="preserve"> BANGAR</t>
  </si>
  <si>
    <t>SITIO BUCNIT COVERED COURT</t>
  </si>
  <si>
    <t>BRGY. NANBAGATAN - FC FRANCISCA PAULINO RES.</t>
  </si>
  <si>
    <t>FL LIOVIE PASCUAL RESIDENCE TANGADAN, SAN QUINTIN</t>
  </si>
  <si>
    <t xml:space="preserve"> SAN QUINTIN</t>
  </si>
  <si>
    <t>PANTOC, SAN QUINTIN BRGY. HALL/COVERED COURT</t>
  </si>
  <si>
    <t>BRGY. SAN RAMON - FC EDWIN EUFEMIANO RES.</t>
  </si>
  <si>
    <t xml:space="preserve"> MANAOAG</t>
  </si>
  <si>
    <t xml:space="preserve"> NARVACAN,  STA MARIA</t>
  </si>
  <si>
    <t xml:space="preserve"> NAGBUKEL,  NARVACAN</t>
  </si>
  <si>
    <t xml:space="preserve"> MAPANDAN,  STA BARBARA</t>
  </si>
  <si>
    <t>CANDON, GALIMUYOD</t>
  </si>
  <si>
    <t xml:space="preserve"> MONCADA,  SAN MANUEL</t>
  </si>
  <si>
    <t>CANDON, SAN ESTEBAN</t>
  </si>
  <si>
    <t xml:space="preserve"> DINGRAS,  MARCOS</t>
  </si>
  <si>
    <t xml:space="preserve"> DANGLAS,  LA PAZ,  LANGIDEN</t>
  </si>
  <si>
    <t xml:space="preserve"> BANAYOYO,  CANDON</t>
  </si>
  <si>
    <t xml:space="preserve"> STO TOMAS,  SAN MANUEL</t>
  </si>
  <si>
    <t xml:space="preserve"> SAN VICENTE,  VIGAN</t>
  </si>
  <si>
    <t xml:space="preserve"> BALUNGAO,  ROSALES,  STA MARIA</t>
  </si>
  <si>
    <t xml:space="preserve"> ASINGAN,  VILLASIS</t>
  </si>
  <si>
    <t>Pool Car</t>
  </si>
  <si>
    <t>Motor</t>
  </si>
  <si>
    <t xml:space="preserve"> We-Ann, Arnelyn, Limwel, Alma, Domerson</t>
  </si>
  <si>
    <t>Vehicle</t>
  </si>
  <si>
    <t>Kriztel, Rudel, Mark Jayson, Jonathan, Angelo, Recel, Dan, Domerson, Natasha, Joy-Anne, Rodante, Renante, Alma, (with Gilbert, Blessie, John Rey in the afternoon)</t>
  </si>
  <si>
    <t>CATUCDAAN BRGY HALL, CABUGAO, ILOCOS SUR</t>
  </si>
  <si>
    <t xml:space="preserve"> CABUGAO</t>
  </si>
  <si>
    <t>ROSIBEL GAYAO RESIDENCE</t>
  </si>
  <si>
    <t xml:space="preserve"> LUNA</t>
  </si>
  <si>
    <t>BRGY. ANONANG - FL JUANITO SARATE RES.</t>
  </si>
  <si>
    <t xml:space="preserve"> SAN FABIAN</t>
  </si>
  <si>
    <t>ALINAAY BRGY HALL, CABUGAO, ILOCOS SUR</t>
  </si>
  <si>
    <t>BRGY. LABNEY - FL RODRIGO MANALO RES.</t>
  </si>
  <si>
    <t xml:space="preserve"> SAN JACINTO</t>
  </si>
  <si>
    <t>Jerson, Ryan, Erl</t>
  </si>
  <si>
    <t>Kriztel, Alma, Domerson</t>
  </si>
  <si>
    <t>Natasha, Angelo, Recel</t>
  </si>
  <si>
    <t>Rudel, Jonathan, Rodante</t>
  </si>
  <si>
    <t>CAELLAYAN BRGY HALL, CABUGAO, ILOCOS SUR</t>
  </si>
  <si>
    <t>BRGY ARAMAL FARMER'S COOP</t>
  </si>
  <si>
    <t>PUG-OS BRGY HALL, CABUGAO, ILOCOS SUR</t>
  </si>
  <si>
    <t>BRGY. MACAYUG - FC RENATO MOULIC RES</t>
  </si>
  <si>
    <t xml:space="preserve"> MANGALDAN</t>
  </si>
  <si>
    <t>Joel, Glenn, Arvee, Jayzer, John Rey</t>
  </si>
  <si>
    <t>BRGY. HALL BANTAY INSIK</t>
  </si>
  <si>
    <t xml:space="preserve"> SISON</t>
  </si>
  <si>
    <t>Rodante, Jonathan</t>
  </si>
  <si>
    <t>PILA BRGY HALL, CABUGAO, ILOCOS SUR</t>
  </si>
  <si>
    <t>Jerson, Ryan, Erl, Jayzer, Blessie</t>
  </si>
  <si>
    <t>SUYO MUNICIPAL HALL</t>
  </si>
  <si>
    <t xml:space="preserve"> SUYO</t>
  </si>
  <si>
    <t>Kriztel, We-Ann, Alma, Domerson</t>
  </si>
  <si>
    <t>SALOMAGUE BRGY HALL, CABUGAO, ILOCOS SUR</t>
  </si>
  <si>
    <t>Joel, Glenn, Arvee</t>
  </si>
  <si>
    <t>BRGY. PATAC - FC ALBERTO BALDEMOR RES.</t>
  </si>
  <si>
    <t xml:space="preserve"> STO TOMAS</t>
  </si>
  <si>
    <t>*Rodante, Jonathan</t>
  </si>
  <si>
    <t>BRGY. STA LUCIA - FC CHRISTOPHER HERRIRIA RES.</t>
  </si>
  <si>
    <t xml:space="preserve"> ARINGAY</t>
  </si>
  <si>
    <t>CUANCABAL BRGY HALL, CABUGAO, ILOCOS SUR</t>
  </si>
  <si>
    <t>BRGY. PANGAO-AOAN - FL ROGELIO RONQUILLO RES.</t>
  </si>
  <si>
    <t>CUANTACLA BRGY HALL, CABUGAO, ILOCOS SUR</t>
  </si>
  <si>
    <t>Joel, Glenn, Arvee, John Rey</t>
  </si>
  <si>
    <t>STA CRUZ BRGY HALL, SINAIT, ILOCOS SUR</t>
  </si>
  <si>
    <t xml:space="preserve"> SINAIT</t>
  </si>
  <si>
    <t>TALLIPUGO BRGY HALL</t>
  </si>
  <si>
    <t>Angelo, Recel, Rodante, Jonathan</t>
  </si>
  <si>
    <t>MASADAG BRGY HALL, SINAIT, ILOCOS SUR</t>
  </si>
  <si>
    <t>Jerson, Ryan</t>
  </si>
  <si>
    <t>CURTIN BRGY HALL, SINAIT, ILOCOS SUR</t>
  </si>
  <si>
    <t>BULALAAN BRGY HALL</t>
  </si>
  <si>
    <t>CARAISAN BARANGAY HALL, MAGSINGAL, ILOCOS NORTE</t>
  </si>
  <si>
    <t xml:space="preserve"> MAGSINGAL</t>
  </si>
  <si>
    <t>CASTRO COVERED COURT</t>
  </si>
  <si>
    <t>PATONG BARANGAY HALL, MAGSINGAL, ILOCOS NORTE</t>
  </si>
  <si>
    <t>STO DOMINGO COLISEUM, POBLACION, STO DOMINGO</t>
  </si>
  <si>
    <t xml:space="preserve"> STO DOMINGO</t>
  </si>
  <si>
    <t>Joel, Glenn, Arvee, Jayzer, Jerson, Ryan, Erl, Blessie</t>
  </si>
  <si>
    <t>DIONISIO SANTIAGO RESIDENCE</t>
  </si>
  <si>
    <t xml:space="preserve"> SAN GABRIEL</t>
  </si>
  <si>
    <t>BRGY. HALL NARRA OESTE</t>
  </si>
  <si>
    <t xml:space="preserve"> SAN FERNANDO</t>
  </si>
  <si>
    <t>BARABAC BRGY HALL, SINAIT, ILOCOS SUR</t>
  </si>
  <si>
    <t>BRGY. SACYUD - FC WARLITO ESPIRITU RES.</t>
  </si>
  <si>
    <t>BRGY. LIOAC SUR</t>
  </si>
  <si>
    <t xml:space="preserve"> NAGUILIAN</t>
  </si>
  <si>
    <t>BRGY. RIZAL - FC ROMEO GALISTE RES.</t>
  </si>
  <si>
    <t xml:space="preserve"> TUBAO</t>
  </si>
  <si>
    <t>Rogen</t>
  </si>
  <si>
    <t>Harry</t>
  </si>
  <si>
    <t>Yolie</t>
  </si>
  <si>
    <t>Richard</t>
  </si>
  <si>
    <t>Erol</t>
  </si>
  <si>
    <t>Kristine</t>
  </si>
  <si>
    <t>Richard, Yolie</t>
  </si>
  <si>
    <t>Kristine, Harry</t>
  </si>
  <si>
    <t>Richard, Kristine</t>
  </si>
  <si>
    <t>Erol, Harry</t>
  </si>
  <si>
    <t>Harry, Kristine, Erol, Rogen</t>
  </si>
  <si>
    <t>Erol, Harry, Yolie</t>
  </si>
  <si>
    <t>Adrian, Jenny</t>
  </si>
  <si>
    <t>Richard, Kristine, Erol</t>
  </si>
  <si>
    <t>IT Personnel</t>
  </si>
  <si>
    <t>Time End</t>
  </si>
  <si>
    <t>Time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</si>
</sst>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[$-F400]h:mm:ss\ AM/PM"/>
  </numFmts>
  <fonts count="4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64" fontId="3" fillId="3" borderId="0" xfId="0" applyNumberFormat="1" applyFont="1" applyFill="1" applyAlignment="1">
      <alignment horizontal="center" vertical="center"/>
    </xf>
    <xf numFmtId="3" fontId="2" fillId="0" borderId="0" xfId="0" applyNumberFormat="1" applyFont="1"/>
    <xf numFmtId="0" fontId="2" fillId="4" borderId="0" xfId="0" applyFont="1" applyFill="1"/>
    <xf numFmtId="3" fontId="2" fillId="4" borderId="0" xfId="0" applyNumberFormat="1" applyFont="1" applyFill="1"/>
    <xf numFmtId="0" fontId="3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2" fillId="0" borderId="0" xfId="0" applyNumberFormat="1" applyFont="1"/>
    <xf numFmtId="0" fontId="2" fillId="5" borderId="0" xfId="0" applyFont="1" applyFill="1"/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left"/>
    </xf>
    <xf numFmtId="165" fontId="2" fillId="4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165" fontId="3" fillId="2" borderId="1" xfId="0" applyNumberFormat="1" applyFont="1" applyFill="1" applyBorder="1"/>
    <xf numFmtId="165" fontId="2" fillId="0" borderId="0" xfId="0" applyNumberFormat="1" applyFont="1"/>
    <xf numFmtId="165" fontId="2" fillId="4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showGridLines="0" zoomScale="88" zoomScaleNormal="56" workbookViewId="0">
      <pane ySplit="2" topLeftCell="A20" activePane="bottomLeft" state="frozen"/>
      <selection pane="bottomLeft" activeCell="F10" sqref="F10"/>
    </sheetView>
  </sheetViews>
  <sheetFormatPr defaultColWidth="8.9140625" defaultRowHeight="14"/>
  <cols>
    <col min="1" max="1" width="8.1640625" bestFit="1" customWidth="1"/>
    <col min="2" max="2" width="11.6640625" style="21" bestFit="1" customWidth="1"/>
    <col min="3" max="3" width="11.6640625" style="21" customWidth="1"/>
    <col min="4" max="4" width="40.83203125" bestFit="1" customWidth="1"/>
    <col min="5" max="5" width="6.9140625" bestFit="1" customWidth="1"/>
    <col min="6" max="6" width="10.83203125" bestFit="1" customWidth="1"/>
    <col min="7" max="7" width="19.1640625" bestFit="1" customWidth="1"/>
    <col min="8" max="8" width="9" customWidth="1"/>
    <col min="9" max="9" width="13" bestFit="1" customWidth="1"/>
    <col min="10" max="10" width="97" bestFit="1" customWidth="1"/>
    <col min="11" max="11" width="16.5" bestFit="1" customWidth="1"/>
    <col min="12" max="12" width="13" bestFit="1" customWidth="1"/>
  </cols>
  <sheetData>
    <row r="1" spans="1:15" s="16" customFormat="1" ht="10.5">
      <c r="A1" s="3" t="s">
        <v>163</v>
      </c>
      <c r="B1" s="18" t="s">
        <v>416</v>
      </c>
      <c r="C1" s="18" t="s">
        <v>415</v>
      </c>
      <c r="D1" s="15" t="s">
        <v>164</v>
      </c>
      <c r="E1" s="15" t="s">
        <v>0</v>
      </c>
      <c r="F1" s="15" t="s">
        <v>165</v>
      </c>
      <c r="G1" s="15" t="s">
        <v>166</v>
      </c>
      <c r="H1" s="15" t="s">
        <v>142</v>
      </c>
      <c r="I1" s="15" t="s">
        <v>1</v>
      </c>
      <c r="J1" s="15" t="s">
        <v>2</v>
      </c>
      <c r="K1" s="17" t="s">
        <v>414</v>
      </c>
      <c r="L1" s="15" t="s">
        <v>335</v>
      </c>
    </row>
    <row r="2" spans="1:15" s="1" customFormat="1" ht="10.5">
      <c r="A2" s="5">
        <v>46041</v>
      </c>
      <c r="B2" s="19">
        <v>0.33333333333333331</v>
      </c>
      <c r="C2" s="19" t="str">
        <f>IF(B2&lt;0.5,"12:00 PM","5:00 PM")</f>
        <v>12:00 PM</v>
      </c>
      <c r="D2" s="2" t="s">
        <v>3</v>
      </c>
      <c r="E2" s="2" t="s">
        <v>4</v>
      </c>
      <c r="F2" s="2" t="s">
        <v>5</v>
      </c>
      <c r="G2" s="2" t="s">
        <v>6</v>
      </c>
      <c r="H2" s="6">
        <v>124</v>
      </c>
      <c r="I2" s="2">
        <v>4</v>
      </c>
      <c r="J2" s="2" t="s">
        <v>7</v>
      </c>
      <c r="K2" s="2" t="s">
        <v>413</v>
      </c>
      <c r="L2" s="14" t="s">
        <v>332</v>
      </c>
    </row>
    <row r="3" spans="1:15" s="2" customFormat="1">
      <c r="A3" s="5">
        <v>46041</v>
      </c>
      <c r="B3" s="19">
        <v>0.33333333333333331</v>
      </c>
      <c r="C3" s="19" t="str">
        <f t="shared" ref="C3:C15" si="0">IF(B3&lt;0.5,"12:00 PM","5:00 PM")</f>
        <v>12:00 PM</v>
      </c>
      <c r="D3" s="2" t="s">
        <v>13</v>
      </c>
      <c r="E3" s="2" t="s">
        <v>14</v>
      </c>
      <c r="F3" s="2" t="s">
        <v>5</v>
      </c>
      <c r="G3" s="2" t="s">
        <v>15</v>
      </c>
      <c r="H3" s="6">
        <v>84</v>
      </c>
      <c r="I3" s="2">
        <v>3</v>
      </c>
      <c r="J3" s="2" t="s">
        <v>16</v>
      </c>
      <c r="K3" s="2" t="s">
        <v>401</v>
      </c>
      <c r="L3" s="14" t="s">
        <v>332</v>
      </c>
      <c r="N3"/>
      <c r="O3" s="1"/>
    </row>
    <row r="4" spans="1:15" s="2" customFormat="1" ht="10.5">
      <c r="A4" s="5">
        <v>46041</v>
      </c>
      <c r="B4" s="19">
        <v>0.33333333333333331</v>
      </c>
      <c r="C4" s="19" t="str">
        <f t="shared" si="0"/>
        <v>12:00 PM</v>
      </c>
      <c r="D4" s="2" t="s">
        <v>17</v>
      </c>
      <c r="E4" s="2" t="s">
        <v>18</v>
      </c>
      <c r="F4" s="2" t="s">
        <v>5</v>
      </c>
      <c r="G4" s="2" t="s">
        <v>19</v>
      </c>
      <c r="H4" s="6">
        <v>94</v>
      </c>
      <c r="I4" s="2">
        <v>4</v>
      </c>
      <c r="J4" s="2" t="s">
        <v>20</v>
      </c>
      <c r="K4" s="2" t="s">
        <v>402</v>
      </c>
      <c r="L4" s="14" t="s">
        <v>332</v>
      </c>
    </row>
    <row r="5" spans="1:15" s="2" customFormat="1" ht="10.5">
      <c r="A5" s="5">
        <v>46041</v>
      </c>
      <c r="B5" s="19">
        <v>0.33333333333333331</v>
      </c>
      <c r="C5" s="19" t="str">
        <f t="shared" si="0"/>
        <v>12:00 PM</v>
      </c>
      <c r="D5" s="2" t="s">
        <v>21</v>
      </c>
      <c r="E5" s="2" t="s">
        <v>22</v>
      </c>
      <c r="F5" s="2" t="s">
        <v>23</v>
      </c>
      <c r="G5" s="2" t="s">
        <v>24</v>
      </c>
      <c r="H5" s="6">
        <v>81</v>
      </c>
      <c r="I5" s="2">
        <v>3</v>
      </c>
      <c r="J5" s="2" t="s">
        <v>25</v>
      </c>
      <c r="L5" s="2" t="s">
        <v>333</v>
      </c>
    </row>
    <row r="6" spans="1:15" s="2" customFormat="1" ht="10.5">
      <c r="A6" s="5">
        <v>46041</v>
      </c>
      <c r="B6" s="19">
        <v>0.33333333333333331</v>
      </c>
      <c r="C6" s="19" t="str">
        <f t="shared" si="0"/>
        <v>12:00 PM</v>
      </c>
      <c r="D6" s="2" t="s">
        <v>154</v>
      </c>
      <c r="E6" s="2" t="s">
        <v>9</v>
      </c>
      <c r="F6" s="2" t="s">
        <v>10</v>
      </c>
      <c r="G6" s="2" t="s">
        <v>155</v>
      </c>
      <c r="H6" s="6">
        <v>65</v>
      </c>
      <c r="I6" s="2">
        <v>4</v>
      </c>
      <c r="J6" s="2" t="s">
        <v>12</v>
      </c>
      <c r="L6" s="2" t="s">
        <v>333</v>
      </c>
    </row>
    <row r="7" spans="1:15" s="2" customFormat="1" ht="10.5">
      <c r="A7" s="5">
        <v>46041</v>
      </c>
      <c r="B7" s="19">
        <v>0.35416666666666669</v>
      </c>
      <c r="C7" s="19" t="str">
        <f t="shared" si="0"/>
        <v>12:00 PM</v>
      </c>
      <c r="D7" s="2" t="s">
        <v>26</v>
      </c>
      <c r="E7" s="2" t="s">
        <v>27</v>
      </c>
      <c r="F7" s="2" t="s">
        <v>23</v>
      </c>
      <c r="G7" s="2" t="s">
        <v>28</v>
      </c>
      <c r="H7" s="6">
        <v>215</v>
      </c>
      <c r="I7" s="2">
        <v>5</v>
      </c>
      <c r="J7" s="2" t="s">
        <v>29</v>
      </c>
      <c r="L7" s="2" t="s">
        <v>333</v>
      </c>
    </row>
    <row r="8" spans="1:15" s="2" customFormat="1" ht="10.5">
      <c r="A8" s="5">
        <v>46041</v>
      </c>
      <c r="B8" s="19">
        <v>0.375</v>
      </c>
      <c r="C8" s="19" t="str">
        <f t="shared" si="0"/>
        <v>12:00 PM</v>
      </c>
      <c r="D8" s="2" t="s">
        <v>30</v>
      </c>
      <c r="E8" s="2" t="s">
        <v>31</v>
      </c>
      <c r="F8" s="2" t="s">
        <v>23</v>
      </c>
      <c r="G8" s="2" t="s">
        <v>32</v>
      </c>
      <c r="H8" s="6">
        <v>173</v>
      </c>
      <c r="I8" s="2">
        <v>5</v>
      </c>
      <c r="J8" s="2" t="s">
        <v>334</v>
      </c>
      <c r="K8" s="2" t="s">
        <v>400</v>
      </c>
      <c r="L8" s="14" t="s">
        <v>332</v>
      </c>
    </row>
    <row r="9" spans="1:15" s="2" customFormat="1" ht="10.5">
      <c r="A9" s="5">
        <v>46041</v>
      </c>
      <c r="B9" s="20">
        <v>0.54166666666666663</v>
      </c>
      <c r="C9" s="19" t="str">
        <f t="shared" si="0"/>
        <v>5:00 PM</v>
      </c>
      <c r="D9" s="7" t="s">
        <v>33</v>
      </c>
      <c r="E9" s="7" t="s">
        <v>18</v>
      </c>
      <c r="F9" s="7" t="s">
        <v>5</v>
      </c>
      <c r="G9" s="7" t="s">
        <v>19</v>
      </c>
      <c r="H9" s="8">
        <v>41</v>
      </c>
      <c r="I9" s="7">
        <v>4</v>
      </c>
      <c r="J9" s="7" t="s">
        <v>20</v>
      </c>
      <c r="K9" s="2" t="s">
        <v>402</v>
      </c>
      <c r="L9" s="14" t="s">
        <v>332</v>
      </c>
    </row>
    <row r="10" spans="1:15" s="2" customFormat="1" ht="10.5">
      <c r="A10" s="5">
        <v>46041</v>
      </c>
      <c r="B10" s="20">
        <v>0.54166666666666663</v>
      </c>
      <c r="C10" s="19" t="str">
        <f t="shared" si="0"/>
        <v>5:00 PM</v>
      </c>
      <c r="D10" s="7" t="s">
        <v>34</v>
      </c>
      <c r="E10" s="7" t="s">
        <v>9</v>
      </c>
      <c r="F10" s="7" t="s">
        <v>10</v>
      </c>
      <c r="G10" s="7" t="s">
        <v>35</v>
      </c>
      <c r="H10" s="8">
        <v>29</v>
      </c>
      <c r="I10" s="7">
        <v>2</v>
      </c>
      <c r="J10" s="7" t="s">
        <v>36</v>
      </c>
      <c r="L10" s="7" t="s">
        <v>333</v>
      </c>
    </row>
    <row r="11" spans="1:15" s="2" customFormat="1" ht="10.5">
      <c r="A11" s="5">
        <v>46041</v>
      </c>
      <c r="B11" s="20">
        <v>0.54166666666666663</v>
      </c>
      <c r="C11" s="19" t="str">
        <f t="shared" si="0"/>
        <v>5:00 PM</v>
      </c>
      <c r="D11" s="7" t="s">
        <v>37</v>
      </c>
      <c r="E11" s="7" t="s">
        <v>22</v>
      </c>
      <c r="F11" s="7" t="s">
        <v>23</v>
      </c>
      <c r="G11" s="7" t="s">
        <v>24</v>
      </c>
      <c r="H11" s="8">
        <v>46</v>
      </c>
      <c r="I11" s="7">
        <v>3</v>
      </c>
      <c r="J11" s="7" t="s">
        <v>25</v>
      </c>
      <c r="L11" s="7" t="s">
        <v>333</v>
      </c>
    </row>
    <row r="12" spans="1:15" s="2" customFormat="1" ht="10.5">
      <c r="A12" s="5">
        <v>46041</v>
      </c>
      <c r="B12" s="20">
        <v>0.54166666666666663</v>
      </c>
      <c r="C12" s="19" t="str">
        <f t="shared" si="0"/>
        <v>5:00 PM</v>
      </c>
      <c r="D12" s="7" t="s">
        <v>38</v>
      </c>
      <c r="E12" s="7" t="s">
        <v>9</v>
      </c>
      <c r="F12" s="7" t="s">
        <v>10</v>
      </c>
      <c r="G12" s="7" t="s">
        <v>11</v>
      </c>
      <c r="H12" s="8">
        <v>29</v>
      </c>
      <c r="I12" s="7">
        <v>2</v>
      </c>
      <c r="J12" s="7" t="s">
        <v>39</v>
      </c>
      <c r="L12" s="7" t="s">
        <v>333</v>
      </c>
    </row>
    <row r="13" spans="1:15" s="2" customFormat="1" ht="10.5">
      <c r="A13" s="5">
        <v>46041</v>
      </c>
      <c r="B13" s="20">
        <v>0.54166666666666663</v>
      </c>
      <c r="C13" s="19" t="str">
        <f t="shared" si="0"/>
        <v>5:00 PM</v>
      </c>
      <c r="D13" s="7" t="s">
        <v>40</v>
      </c>
      <c r="E13" s="7" t="s">
        <v>31</v>
      </c>
      <c r="F13" s="7" t="s">
        <v>23</v>
      </c>
      <c r="G13" s="7" t="s">
        <v>32</v>
      </c>
      <c r="H13" s="8">
        <v>46</v>
      </c>
      <c r="I13" s="7">
        <v>5</v>
      </c>
      <c r="J13" s="7" t="s">
        <v>334</v>
      </c>
      <c r="K13" s="2" t="s">
        <v>400</v>
      </c>
      <c r="L13" s="14" t="s">
        <v>332</v>
      </c>
    </row>
    <row r="14" spans="1:15" s="2" customFormat="1" ht="10.5">
      <c r="A14" s="5">
        <v>46041</v>
      </c>
      <c r="B14" s="20">
        <v>0.5625</v>
      </c>
      <c r="C14" s="19" t="str">
        <f t="shared" si="0"/>
        <v>5:00 PM</v>
      </c>
      <c r="D14" s="7" t="s">
        <v>41</v>
      </c>
      <c r="E14" s="7" t="s">
        <v>14</v>
      </c>
      <c r="F14" s="7" t="s">
        <v>5</v>
      </c>
      <c r="G14" s="7" t="s">
        <v>15</v>
      </c>
      <c r="H14" s="8">
        <v>22</v>
      </c>
      <c r="I14" s="7">
        <v>3</v>
      </c>
      <c r="J14" s="7" t="s">
        <v>16</v>
      </c>
      <c r="K14" s="2" t="s">
        <v>401</v>
      </c>
      <c r="L14" s="14" t="s">
        <v>332</v>
      </c>
    </row>
    <row r="15" spans="1:15" s="2" customFormat="1" ht="10.5">
      <c r="A15" s="5">
        <v>46041</v>
      </c>
      <c r="B15" s="20">
        <v>0.58333333333333337</v>
      </c>
      <c r="C15" s="19" t="str">
        <f t="shared" si="0"/>
        <v>5:00 PM</v>
      </c>
      <c r="D15" s="7" t="s">
        <v>42</v>
      </c>
      <c r="E15" s="7" t="s">
        <v>27</v>
      </c>
      <c r="F15" s="7" t="s">
        <v>23</v>
      </c>
      <c r="G15" s="7" t="s">
        <v>43</v>
      </c>
      <c r="H15" s="8">
        <v>90</v>
      </c>
      <c r="I15" s="7">
        <v>5</v>
      </c>
      <c r="J15" s="7" t="s">
        <v>29</v>
      </c>
      <c r="L15" s="7" t="s">
        <v>333</v>
      </c>
    </row>
    <row r="16" spans="1:15" s="2" customFormat="1" ht="10.5">
      <c r="A16" s="5">
        <v>46042</v>
      </c>
      <c r="B16" s="19">
        <v>0.33333333333333331</v>
      </c>
      <c r="C16" s="19" t="str">
        <f>IF(B16&lt;0.5,"12:00 PM","5:00 PM")</f>
        <v>12:00 PM</v>
      </c>
      <c r="D16" s="2" t="s">
        <v>44</v>
      </c>
      <c r="E16" s="2" t="s">
        <v>4</v>
      </c>
      <c r="F16" s="2" t="s">
        <v>5</v>
      </c>
      <c r="G16" s="2" t="s">
        <v>319</v>
      </c>
      <c r="H16" s="6">
        <v>116</v>
      </c>
      <c r="I16" s="2">
        <v>4</v>
      </c>
      <c r="J16" s="2" t="s">
        <v>7</v>
      </c>
      <c r="K16" s="2" t="s">
        <v>408</v>
      </c>
      <c r="L16" s="14" t="s">
        <v>332</v>
      </c>
    </row>
    <row r="17" spans="1:12" s="2" customFormat="1" ht="10.5">
      <c r="A17" s="5">
        <v>46042</v>
      </c>
      <c r="B17" s="19">
        <v>0.35416666666666669</v>
      </c>
      <c r="C17" s="19" t="str">
        <f t="shared" ref="C17:C28" si="1">IF(B17&lt;0.5,"12:00 PM","5:00 PM")</f>
        <v>12:00 PM</v>
      </c>
      <c r="D17" s="2" t="s">
        <v>46</v>
      </c>
      <c r="E17" s="2" t="s">
        <v>47</v>
      </c>
      <c r="F17" s="2" t="s">
        <v>5</v>
      </c>
      <c r="G17" s="2" t="s">
        <v>320</v>
      </c>
      <c r="H17" s="6">
        <v>242</v>
      </c>
      <c r="I17" s="2">
        <v>8</v>
      </c>
      <c r="J17" s="2" t="s">
        <v>48</v>
      </c>
      <c r="K17" s="2" t="s">
        <v>411</v>
      </c>
      <c r="L17" s="14" t="s">
        <v>332</v>
      </c>
    </row>
    <row r="18" spans="1:12" s="2" customFormat="1" ht="10.5">
      <c r="A18" s="5">
        <v>46042</v>
      </c>
      <c r="B18" s="19">
        <v>0.33333333333333331</v>
      </c>
      <c r="C18" s="19" t="str">
        <f t="shared" si="1"/>
        <v>12:00 PM</v>
      </c>
      <c r="D18" s="2" t="s">
        <v>49</v>
      </c>
      <c r="E18" s="2" t="s">
        <v>9</v>
      </c>
      <c r="F18" s="2" t="s">
        <v>10</v>
      </c>
      <c r="G18" s="2" t="s">
        <v>50</v>
      </c>
      <c r="H18" s="6">
        <v>124</v>
      </c>
      <c r="I18" s="2">
        <v>4</v>
      </c>
      <c r="J18" s="2" t="s">
        <v>12</v>
      </c>
      <c r="L18" s="2" t="s">
        <v>333</v>
      </c>
    </row>
    <row r="19" spans="1:12" s="2" customFormat="1" ht="10.5">
      <c r="A19" s="5">
        <v>46042</v>
      </c>
      <c r="B19" s="19">
        <v>0.35416666666666669</v>
      </c>
      <c r="C19" s="19" t="str">
        <f t="shared" si="1"/>
        <v>12:00 PM</v>
      </c>
      <c r="D19" s="2" t="s">
        <v>51</v>
      </c>
      <c r="E19" s="2" t="s">
        <v>27</v>
      </c>
      <c r="F19" s="2" t="s">
        <v>23</v>
      </c>
      <c r="G19" s="2" t="s">
        <v>52</v>
      </c>
      <c r="H19" s="6">
        <v>98</v>
      </c>
      <c r="I19" s="2">
        <v>4</v>
      </c>
      <c r="J19" s="2" t="s">
        <v>53</v>
      </c>
      <c r="L19" s="2" t="s">
        <v>333</v>
      </c>
    </row>
    <row r="20" spans="1:12" s="2" customFormat="1" ht="10.5">
      <c r="A20" s="5">
        <v>46042</v>
      </c>
      <c r="B20" s="19">
        <v>0.35416666666666669</v>
      </c>
      <c r="C20" s="19" t="str">
        <f t="shared" si="1"/>
        <v>12:00 PM</v>
      </c>
      <c r="D20" s="2" t="s">
        <v>54</v>
      </c>
      <c r="E20" s="2" t="s">
        <v>27</v>
      </c>
      <c r="F20" s="2" t="s">
        <v>23</v>
      </c>
      <c r="G20" s="2" t="s">
        <v>55</v>
      </c>
      <c r="H20" s="6">
        <v>96</v>
      </c>
      <c r="I20" s="2">
        <v>4</v>
      </c>
      <c r="J20" s="2" t="s">
        <v>56</v>
      </c>
      <c r="L20" s="2" t="s">
        <v>333</v>
      </c>
    </row>
    <row r="21" spans="1:12" s="2" customFormat="1" ht="10.5">
      <c r="A21" s="5">
        <v>46042</v>
      </c>
      <c r="B21" s="19">
        <v>0.375</v>
      </c>
      <c r="C21" s="19" t="str">
        <f t="shared" si="1"/>
        <v>12:00 PM</v>
      </c>
      <c r="D21" s="2" t="s">
        <v>57</v>
      </c>
      <c r="E21" s="2" t="s">
        <v>31</v>
      </c>
      <c r="F21" s="2" t="s">
        <v>23</v>
      </c>
      <c r="G21" s="2" t="s">
        <v>32</v>
      </c>
      <c r="H21" s="6">
        <v>85</v>
      </c>
      <c r="I21" s="2">
        <v>4</v>
      </c>
      <c r="J21" s="2" t="s">
        <v>58</v>
      </c>
      <c r="K21" s="2" t="s">
        <v>400</v>
      </c>
      <c r="L21" s="14" t="s">
        <v>332</v>
      </c>
    </row>
    <row r="22" spans="1:12" s="2" customFormat="1" ht="10.5">
      <c r="A22" s="5">
        <v>46042</v>
      </c>
      <c r="B22" s="20">
        <v>0.54166666666666663</v>
      </c>
      <c r="C22" s="19" t="str">
        <f t="shared" si="1"/>
        <v>5:00 PM</v>
      </c>
      <c r="D22" s="7" t="s">
        <v>59</v>
      </c>
      <c r="E22" s="7" t="s">
        <v>60</v>
      </c>
      <c r="F22" s="7" t="s">
        <v>61</v>
      </c>
      <c r="G22" s="7" t="s">
        <v>62</v>
      </c>
      <c r="H22" s="8">
        <v>67</v>
      </c>
      <c r="I22" s="7">
        <v>4</v>
      </c>
      <c r="J22" s="7" t="s">
        <v>63</v>
      </c>
      <c r="K22" s="2" t="s">
        <v>408</v>
      </c>
      <c r="L22" s="14" t="s">
        <v>332</v>
      </c>
    </row>
    <row r="23" spans="1:12" s="2" customFormat="1" ht="10.5">
      <c r="A23" s="5">
        <v>46042</v>
      </c>
      <c r="B23" s="20">
        <v>0.54166666666666663</v>
      </c>
      <c r="C23" s="19" t="str">
        <f t="shared" si="1"/>
        <v>5:00 PM</v>
      </c>
      <c r="D23" s="7" t="s">
        <v>64</v>
      </c>
      <c r="E23" s="7" t="s">
        <v>9</v>
      </c>
      <c r="F23" s="7" t="s">
        <v>10</v>
      </c>
      <c r="G23" s="7" t="s">
        <v>50</v>
      </c>
      <c r="H23" s="8">
        <v>64</v>
      </c>
      <c r="I23" s="7">
        <v>4</v>
      </c>
      <c r="J23" s="7" t="s">
        <v>12</v>
      </c>
      <c r="L23" s="7" t="s">
        <v>333</v>
      </c>
    </row>
    <row r="24" spans="1:12" s="2" customFormat="1" ht="10.5">
      <c r="A24" s="5">
        <v>46042</v>
      </c>
      <c r="B24" s="20">
        <v>0.54166666666666663</v>
      </c>
      <c r="C24" s="19" t="str">
        <f t="shared" si="1"/>
        <v>5:00 PM</v>
      </c>
      <c r="D24" s="7" t="s">
        <v>65</v>
      </c>
      <c r="E24" s="7" t="s">
        <v>31</v>
      </c>
      <c r="F24" s="7" t="s">
        <v>23</v>
      </c>
      <c r="G24" s="7" t="s">
        <v>32</v>
      </c>
      <c r="H24" s="8">
        <v>45</v>
      </c>
      <c r="I24" s="7">
        <v>4</v>
      </c>
      <c r="J24" s="7" t="s">
        <v>58</v>
      </c>
      <c r="K24" s="2" t="s">
        <v>400</v>
      </c>
      <c r="L24" s="14" t="s">
        <v>332</v>
      </c>
    </row>
    <row r="25" spans="1:12" s="2" customFormat="1" ht="10.5">
      <c r="A25" s="5">
        <v>46042</v>
      </c>
      <c r="B25" s="20">
        <v>0.54166666666666663</v>
      </c>
      <c r="C25" s="19" t="str">
        <f t="shared" si="1"/>
        <v>5:00 PM</v>
      </c>
      <c r="D25" s="7" t="s">
        <v>66</v>
      </c>
      <c r="E25" s="7" t="s">
        <v>14</v>
      </c>
      <c r="F25" s="7" t="s">
        <v>5</v>
      </c>
      <c r="G25" s="7" t="s">
        <v>15</v>
      </c>
      <c r="H25" s="8">
        <v>32</v>
      </c>
      <c r="I25" s="7">
        <v>4</v>
      </c>
      <c r="J25" s="7" t="s">
        <v>67</v>
      </c>
      <c r="K25" s="2" t="s">
        <v>402</v>
      </c>
      <c r="L25" s="14" t="s">
        <v>332</v>
      </c>
    </row>
    <row r="26" spans="1:12" s="2" customFormat="1" ht="10.5">
      <c r="A26" s="5">
        <v>46042</v>
      </c>
      <c r="B26" s="20">
        <v>0.54166666666666663</v>
      </c>
      <c r="C26" s="19" t="str">
        <f t="shared" si="1"/>
        <v>5:00 PM</v>
      </c>
      <c r="D26" s="7" t="s">
        <v>68</v>
      </c>
      <c r="E26" s="7" t="s">
        <v>14</v>
      </c>
      <c r="F26" s="7" t="s">
        <v>5</v>
      </c>
      <c r="G26" s="7" t="s">
        <v>69</v>
      </c>
      <c r="H26" s="8">
        <v>68</v>
      </c>
      <c r="I26" s="7">
        <v>4</v>
      </c>
      <c r="J26" s="7" t="s">
        <v>70</v>
      </c>
      <c r="K26" s="2" t="s">
        <v>409</v>
      </c>
      <c r="L26" s="14" t="s">
        <v>332</v>
      </c>
    </row>
    <row r="27" spans="1:12" s="2" customFormat="1" ht="10.5">
      <c r="A27" s="5">
        <v>46042</v>
      </c>
      <c r="B27" s="20">
        <v>0.58333333333333337</v>
      </c>
      <c r="C27" s="19" t="str">
        <f t="shared" si="1"/>
        <v>5:00 PM</v>
      </c>
      <c r="D27" s="7" t="s">
        <v>71</v>
      </c>
      <c r="E27" s="7" t="s">
        <v>27</v>
      </c>
      <c r="F27" s="7" t="s">
        <v>23</v>
      </c>
      <c r="G27" s="7" t="s">
        <v>72</v>
      </c>
      <c r="H27" s="8">
        <v>114</v>
      </c>
      <c r="I27" s="7">
        <v>4</v>
      </c>
      <c r="J27" s="7" t="s">
        <v>53</v>
      </c>
      <c r="L27" s="7" t="s">
        <v>333</v>
      </c>
    </row>
    <row r="28" spans="1:12" s="2" customFormat="1" ht="10.5">
      <c r="A28" s="5">
        <v>46042</v>
      </c>
      <c r="B28" s="20">
        <v>0.58333333333333337</v>
      </c>
      <c r="C28" s="19" t="str">
        <f t="shared" si="1"/>
        <v>5:00 PM</v>
      </c>
      <c r="D28" s="7" t="s">
        <v>73</v>
      </c>
      <c r="E28" s="7" t="s">
        <v>27</v>
      </c>
      <c r="F28" s="7" t="s">
        <v>23</v>
      </c>
      <c r="G28" s="7" t="s">
        <v>55</v>
      </c>
      <c r="H28" s="8">
        <v>96</v>
      </c>
      <c r="I28" s="7">
        <v>4</v>
      </c>
      <c r="J28" s="7" t="s">
        <v>56</v>
      </c>
      <c r="L28" s="7" t="s">
        <v>333</v>
      </c>
    </row>
    <row r="29" spans="1:12" s="2" customFormat="1" ht="10.5">
      <c r="A29" s="5">
        <v>46043</v>
      </c>
      <c r="B29" s="19">
        <v>0.33333333333333331</v>
      </c>
      <c r="C29" s="19" t="str">
        <f>IF(B29&lt;0.5,"12:00 PM","5:00 PM")</f>
        <v>12:00 PM</v>
      </c>
      <c r="D29" s="2" t="s">
        <v>74</v>
      </c>
      <c r="E29" s="2" t="s">
        <v>4</v>
      </c>
      <c r="F29" s="2" t="s">
        <v>5</v>
      </c>
      <c r="G29" s="2" t="s">
        <v>6</v>
      </c>
      <c r="H29" s="6">
        <v>104</v>
      </c>
      <c r="I29" s="2">
        <v>3</v>
      </c>
      <c r="J29" s="2" t="s">
        <v>75</v>
      </c>
      <c r="K29" s="2" t="s">
        <v>406</v>
      </c>
      <c r="L29" s="14" t="s">
        <v>332</v>
      </c>
    </row>
    <row r="30" spans="1:12" s="2" customFormat="1" ht="10.5">
      <c r="A30" s="5">
        <v>46043</v>
      </c>
      <c r="B30" s="19">
        <v>0.35416666666666669</v>
      </c>
      <c r="C30" s="19" t="str">
        <f t="shared" ref="C30:C35" si="2">IF(B30&lt;0.5,"12:00 PM","5:00 PM")</f>
        <v>12:00 PM</v>
      </c>
      <c r="D30" s="2" t="s">
        <v>76</v>
      </c>
      <c r="E30" s="2" t="s">
        <v>47</v>
      </c>
      <c r="F30" s="2" t="s">
        <v>5</v>
      </c>
      <c r="G30" s="2" t="s">
        <v>45</v>
      </c>
      <c r="H30" s="6">
        <v>684</v>
      </c>
      <c r="I30" s="2">
        <v>13</v>
      </c>
      <c r="J30" s="2" t="s">
        <v>336</v>
      </c>
      <c r="K30" s="2" t="s">
        <v>410</v>
      </c>
      <c r="L30" s="14" t="s">
        <v>332</v>
      </c>
    </row>
    <row r="31" spans="1:12" s="2" customFormat="1" ht="10.5">
      <c r="A31" s="5">
        <v>46043</v>
      </c>
      <c r="B31" s="19">
        <v>0.33333333333333331</v>
      </c>
      <c r="C31" s="19" t="str">
        <f t="shared" si="2"/>
        <v>12:00 PM</v>
      </c>
      <c r="D31" s="2" t="s">
        <v>77</v>
      </c>
      <c r="E31" s="2" t="s">
        <v>9</v>
      </c>
      <c r="F31" s="2" t="s">
        <v>10</v>
      </c>
      <c r="G31" s="2" t="s">
        <v>11</v>
      </c>
      <c r="H31" s="6">
        <v>49</v>
      </c>
      <c r="I31" s="2">
        <v>4</v>
      </c>
      <c r="J31" s="2" t="s">
        <v>12</v>
      </c>
      <c r="L31" s="2" t="s">
        <v>333</v>
      </c>
    </row>
    <row r="32" spans="1:12" s="2" customFormat="1" ht="10.5">
      <c r="A32" s="5">
        <v>46043</v>
      </c>
      <c r="B32" s="19">
        <v>0.35416666666666669</v>
      </c>
      <c r="C32" s="19" t="str">
        <f t="shared" si="2"/>
        <v>12:00 PM</v>
      </c>
      <c r="D32" s="2" t="s">
        <v>78</v>
      </c>
      <c r="E32" s="2" t="s">
        <v>27</v>
      </c>
      <c r="F32" s="2" t="s">
        <v>23</v>
      </c>
      <c r="G32" s="2" t="s">
        <v>79</v>
      </c>
      <c r="H32" s="6">
        <v>103</v>
      </c>
      <c r="I32" s="2">
        <v>4</v>
      </c>
      <c r="J32" s="2" t="s">
        <v>53</v>
      </c>
      <c r="L32" s="2" t="s">
        <v>333</v>
      </c>
    </row>
    <row r="33" spans="1:12" s="2" customFormat="1" ht="10.5">
      <c r="A33" s="5">
        <v>46043</v>
      </c>
      <c r="B33" s="19">
        <v>0.35416666666666669</v>
      </c>
      <c r="C33" s="19" t="str">
        <f t="shared" si="2"/>
        <v>12:00 PM</v>
      </c>
      <c r="D33" s="2" t="s">
        <v>80</v>
      </c>
      <c r="E33" s="2" t="s">
        <v>27</v>
      </c>
      <c r="F33" s="2" t="s">
        <v>23</v>
      </c>
      <c r="G33" s="2" t="s">
        <v>55</v>
      </c>
      <c r="H33" s="6">
        <v>91</v>
      </c>
      <c r="I33" s="2">
        <v>4</v>
      </c>
      <c r="J33" s="2" t="s">
        <v>56</v>
      </c>
      <c r="L33" s="2" t="s">
        <v>333</v>
      </c>
    </row>
    <row r="34" spans="1:12" s="2" customFormat="1" ht="10.5">
      <c r="A34" s="5">
        <v>46043</v>
      </c>
      <c r="B34" s="20">
        <v>0.58333333333333337</v>
      </c>
      <c r="C34" s="19" t="str">
        <f t="shared" si="2"/>
        <v>5:00 PM</v>
      </c>
      <c r="D34" s="7" t="s">
        <v>82</v>
      </c>
      <c r="E34" s="7" t="s">
        <v>27</v>
      </c>
      <c r="F34" s="7" t="s">
        <v>23</v>
      </c>
      <c r="G34" s="7" t="s">
        <v>55</v>
      </c>
      <c r="H34" s="8">
        <v>82</v>
      </c>
      <c r="I34" s="7">
        <v>4</v>
      </c>
      <c r="J34" s="7" t="s">
        <v>56</v>
      </c>
      <c r="L34" s="7" t="s">
        <v>333</v>
      </c>
    </row>
    <row r="35" spans="1:12" s="2" customFormat="1" ht="10.5">
      <c r="A35" s="5">
        <v>46043</v>
      </c>
      <c r="B35" s="20">
        <v>0.58333333333333337</v>
      </c>
      <c r="C35" s="19" t="str">
        <f t="shared" si="2"/>
        <v>5:00 PM</v>
      </c>
      <c r="D35" s="7" t="s">
        <v>83</v>
      </c>
      <c r="E35" s="7" t="s">
        <v>27</v>
      </c>
      <c r="F35" s="7" t="s">
        <v>23</v>
      </c>
      <c r="G35" s="7" t="s">
        <v>84</v>
      </c>
      <c r="H35" s="8">
        <v>50</v>
      </c>
      <c r="I35" s="7">
        <v>4</v>
      </c>
      <c r="J35" s="7" t="s">
        <v>53</v>
      </c>
      <c r="L35" s="7" t="s">
        <v>333</v>
      </c>
    </row>
    <row r="36" spans="1:12" s="2" customFormat="1" ht="10.5">
      <c r="A36" s="5">
        <v>46044</v>
      </c>
      <c r="B36" s="19">
        <v>0.33333333333333331</v>
      </c>
      <c r="C36" s="19" t="str">
        <f>IF(B36&lt;0.5,"12:00 PM","5:00 PM")</f>
        <v>12:00 PM</v>
      </c>
      <c r="D36" s="2" t="s">
        <v>85</v>
      </c>
      <c r="E36" s="2" t="s">
        <v>4</v>
      </c>
      <c r="F36" s="2" t="s">
        <v>5</v>
      </c>
      <c r="G36" s="2" t="s">
        <v>6</v>
      </c>
      <c r="H36" s="6">
        <v>176</v>
      </c>
      <c r="I36" s="2">
        <v>8</v>
      </c>
      <c r="J36" s="2" t="s">
        <v>86</v>
      </c>
      <c r="K36" s="2" t="s">
        <v>404</v>
      </c>
      <c r="L36" s="14" t="s">
        <v>332</v>
      </c>
    </row>
    <row r="37" spans="1:12" s="2" customFormat="1" ht="10.5">
      <c r="A37" s="5">
        <v>46044</v>
      </c>
      <c r="B37" s="19">
        <v>0.33333333333333331</v>
      </c>
      <c r="C37" s="19" t="str">
        <f t="shared" ref="C37:C48" si="3">IF(B37&lt;0.5,"12:00 PM","5:00 PM")</f>
        <v>12:00 PM</v>
      </c>
      <c r="D37" s="2" t="s">
        <v>87</v>
      </c>
      <c r="E37" s="2" t="s">
        <v>88</v>
      </c>
      <c r="F37" s="2" t="s">
        <v>5</v>
      </c>
      <c r="G37" s="2" t="s">
        <v>89</v>
      </c>
      <c r="H37" s="6">
        <v>62</v>
      </c>
      <c r="I37" s="2">
        <v>4</v>
      </c>
      <c r="J37" s="2" t="s">
        <v>58</v>
      </c>
      <c r="K37" s="2" t="s">
        <v>407</v>
      </c>
      <c r="L37" s="14" t="s">
        <v>332</v>
      </c>
    </row>
    <row r="38" spans="1:12" s="2" customFormat="1" ht="10.5">
      <c r="A38" s="5">
        <v>46044</v>
      </c>
      <c r="B38" s="19">
        <v>0.33333333333333331</v>
      </c>
      <c r="C38" s="19" t="str">
        <f t="shared" si="3"/>
        <v>12:00 PM</v>
      </c>
      <c r="D38" s="2" t="s">
        <v>90</v>
      </c>
      <c r="E38" s="2" t="s">
        <v>9</v>
      </c>
      <c r="F38" s="2" t="s">
        <v>10</v>
      </c>
      <c r="G38" s="2" t="s">
        <v>11</v>
      </c>
      <c r="H38" s="6">
        <v>87</v>
      </c>
      <c r="I38" s="2">
        <v>4</v>
      </c>
      <c r="J38" s="2" t="s">
        <v>12</v>
      </c>
      <c r="L38" s="2" t="s">
        <v>333</v>
      </c>
    </row>
    <row r="39" spans="1:12" s="2" customFormat="1" ht="10.5">
      <c r="A39" s="5">
        <v>46044</v>
      </c>
      <c r="B39" s="19">
        <v>0.33333333333333331</v>
      </c>
      <c r="C39" s="19" t="str">
        <f t="shared" si="3"/>
        <v>12:00 PM</v>
      </c>
      <c r="D39" s="2" t="s">
        <v>91</v>
      </c>
      <c r="E39" s="2" t="s">
        <v>22</v>
      </c>
      <c r="F39" s="2" t="s">
        <v>23</v>
      </c>
      <c r="G39" s="2" t="s">
        <v>92</v>
      </c>
      <c r="H39" s="6">
        <v>123</v>
      </c>
      <c r="I39" s="2">
        <v>4</v>
      </c>
      <c r="J39" s="2" t="s">
        <v>56</v>
      </c>
      <c r="L39" s="2" t="s">
        <v>333</v>
      </c>
    </row>
    <row r="40" spans="1:12" s="2" customFormat="1" ht="10.5">
      <c r="A40" s="5">
        <v>46044</v>
      </c>
      <c r="B40" s="19">
        <v>0.35416666666666669</v>
      </c>
      <c r="C40" s="19" t="str">
        <f t="shared" si="3"/>
        <v>12:00 PM</v>
      </c>
      <c r="D40" s="2" t="s">
        <v>93</v>
      </c>
      <c r="E40" s="2" t="s">
        <v>27</v>
      </c>
      <c r="F40" s="2" t="s">
        <v>23</v>
      </c>
      <c r="G40" s="2" t="s">
        <v>55</v>
      </c>
      <c r="H40" s="6">
        <v>65</v>
      </c>
      <c r="I40" s="2">
        <v>4</v>
      </c>
      <c r="J40" s="2" t="s">
        <v>53</v>
      </c>
      <c r="L40" s="2" t="s">
        <v>333</v>
      </c>
    </row>
    <row r="41" spans="1:12" s="2" customFormat="1" ht="10.5">
      <c r="A41" s="5">
        <v>46044</v>
      </c>
      <c r="B41" s="19">
        <v>0.375</v>
      </c>
      <c r="C41" s="19" t="str">
        <f t="shared" si="3"/>
        <v>12:00 PM</v>
      </c>
      <c r="D41" s="2" t="s">
        <v>94</v>
      </c>
      <c r="E41" s="2" t="s">
        <v>14</v>
      </c>
      <c r="F41" s="2" t="s">
        <v>5</v>
      </c>
      <c r="G41" s="2" t="s">
        <v>15</v>
      </c>
      <c r="H41" s="6">
        <v>57</v>
      </c>
      <c r="I41" s="2">
        <v>4</v>
      </c>
      <c r="J41" s="2" t="s">
        <v>7</v>
      </c>
      <c r="K41" s="2" t="s">
        <v>403</v>
      </c>
      <c r="L41" s="14" t="s">
        <v>332</v>
      </c>
    </row>
    <row r="42" spans="1:12" s="2" customFormat="1" ht="10.5">
      <c r="A42" s="5">
        <v>46044</v>
      </c>
      <c r="B42" s="20">
        <v>0.54166666666666663</v>
      </c>
      <c r="C42" s="19" t="str">
        <f t="shared" si="3"/>
        <v>5:00 PM</v>
      </c>
      <c r="D42" s="7" t="s">
        <v>95</v>
      </c>
      <c r="E42" s="7" t="s">
        <v>60</v>
      </c>
      <c r="F42" s="7" t="s">
        <v>61</v>
      </c>
      <c r="G42" s="7" t="s">
        <v>96</v>
      </c>
      <c r="H42" s="8">
        <v>40</v>
      </c>
      <c r="I42" s="7">
        <v>2</v>
      </c>
      <c r="J42" s="7" t="s">
        <v>97</v>
      </c>
      <c r="K42" s="2" t="s">
        <v>405</v>
      </c>
      <c r="L42" s="14" t="s">
        <v>332</v>
      </c>
    </row>
    <row r="43" spans="1:12" s="2" customFormat="1" ht="10.5">
      <c r="A43" s="5">
        <v>46044</v>
      </c>
      <c r="B43" s="20">
        <v>0.54166666666666663</v>
      </c>
      <c r="C43" s="19" t="str">
        <f t="shared" si="3"/>
        <v>5:00 PM</v>
      </c>
      <c r="D43" s="7" t="s">
        <v>98</v>
      </c>
      <c r="E43" s="7" t="s">
        <v>60</v>
      </c>
      <c r="F43" s="7" t="s">
        <v>61</v>
      </c>
      <c r="G43" s="7" t="s">
        <v>96</v>
      </c>
      <c r="H43" s="8">
        <v>38</v>
      </c>
      <c r="I43" s="7">
        <v>2</v>
      </c>
      <c r="J43" s="7" t="s">
        <v>99</v>
      </c>
      <c r="K43" s="2" t="s">
        <v>401</v>
      </c>
      <c r="L43" s="14" t="s">
        <v>332</v>
      </c>
    </row>
    <row r="44" spans="1:12" s="2" customFormat="1" ht="10.5">
      <c r="A44" s="5">
        <v>46044</v>
      </c>
      <c r="B44" s="20">
        <v>0.54166666666666663</v>
      </c>
      <c r="C44" s="19" t="str">
        <f t="shared" si="3"/>
        <v>5:00 PM</v>
      </c>
      <c r="D44" s="7" t="s">
        <v>100</v>
      </c>
      <c r="E44" s="7" t="s">
        <v>9</v>
      </c>
      <c r="F44" s="7" t="s">
        <v>10</v>
      </c>
      <c r="G44" s="7" t="s">
        <v>11</v>
      </c>
      <c r="H44" s="8">
        <v>38</v>
      </c>
      <c r="I44" s="7">
        <v>2</v>
      </c>
      <c r="J44" s="7" t="s">
        <v>39</v>
      </c>
      <c r="L44" s="7" t="s">
        <v>333</v>
      </c>
    </row>
    <row r="45" spans="1:12" s="2" customFormat="1" ht="10.5">
      <c r="A45" s="5">
        <v>46044</v>
      </c>
      <c r="B45" s="20">
        <v>0.54166666666666663</v>
      </c>
      <c r="C45" s="19" t="str">
        <f t="shared" si="3"/>
        <v>5:00 PM</v>
      </c>
      <c r="D45" s="7" t="s">
        <v>101</v>
      </c>
      <c r="E45" s="7" t="s">
        <v>31</v>
      </c>
      <c r="F45" s="7" t="s">
        <v>23</v>
      </c>
      <c r="G45" s="7" t="s">
        <v>102</v>
      </c>
      <c r="H45" s="8">
        <v>39</v>
      </c>
      <c r="I45" s="7">
        <v>4</v>
      </c>
      <c r="J45" s="7" t="s">
        <v>56</v>
      </c>
      <c r="L45" s="7" t="s">
        <v>333</v>
      </c>
    </row>
    <row r="46" spans="1:12" s="2" customFormat="1" ht="10.5">
      <c r="A46" s="5">
        <v>46044</v>
      </c>
      <c r="B46" s="20">
        <v>0.54166666666666663</v>
      </c>
      <c r="C46" s="19" t="str">
        <f t="shared" si="3"/>
        <v>5:00 PM</v>
      </c>
      <c r="D46" s="7" t="s">
        <v>94</v>
      </c>
      <c r="E46" s="7" t="s">
        <v>14</v>
      </c>
      <c r="F46" s="7" t="s">
        <v>5</v>
      </c>
      <c r="G46" s="7" t="s">
        <v>15</v>
      </c>
      <c r="H46" s="8">
        <v>34</v>
      </c>
      <c r="I46" s="7">
        <v>4</v>
      </c>
      <c r="J46" s="7" t="s">
        <v>7</v>
      </c>
      <c r="K46" s="2" t="s">
        <v>403</v>
      </c>
      <c r="L46" s="14" t="s">
        <v>332</v>
      </c>
    </row>
    <row r="47" spans="1:12" s="2" customFormat="1" ht="10.5">
      <c r="A47" s="5">
        <v>46044</v>
      </c>
      <c r="B47" s="20">
        <v>0.54166666666666663</v>
      </c>
      <c r="C47" s="19" t="str">
        <f t="shared" si="3"/>
        <v>5:00 PM</v>
      </c>
      <c r="D47" s="7" t="s">
        <v>103</v>
      </c>
      <c r="E47" s="7" t="s">
        <v>9</v>
      </c>
      <c r="F47" s="7" t="s">
        <v>10</v>
      </c>
      <c r="G47" s="7" t="s">
        <v>104</v>
      </c>
      <c r="H47" s="8">
        <v>38</v>
      </c>
      <c r="I47" s="7">
        <v>2</v>
      </c>
      <c r="J47" s="7" t="s">
        <v>36</v>
      </c>
      <c r="L47" s="7" t="s">
        <v>333</v>
      </c>
    </row>
    <row r="48" spans="1:12" s="2" customFormat="1" ht="10.5">
      <c r="A48" s="5">
        <v>46044</v>
      </c>
      <c r="B48" s="20">
        <v>0.58333333333333337</v>
      </c>
      <c r="C48" s="19" t="str">
        <f t="shared" si="3"/>
        <v>5:00 PM</v>
      </c>
      <c r="D48" s="7" t="s">
        <v>105</v>
      </c>
      <c r="E48" s="7" t="s">
        <v>27</v>
      </c>
      <c r="F48" s="7" t="s">
        <v>23</v>
      </c>
      <c r="G48" s="7" t="s">
        <v>55</v>
      </c>
      <c r="H48" s="8">
        <v>40</v>
      </c>
      <c r="I48" s="7">
        <v>4</v>
      </c>
      <c r="J48" s="7" t="s">
        <v>53</v>
      </c>
      <c r="L48" s="7" t="s">
        <v>333</v>
      </c>
    </row>
    <row r="49" spans="1:12" s="2" customFormat="1" ht="10.5">
      <c r="A49" s="5">
        <v>46045</v>
      </c>
      <c r="B49" s="19">
        <v>0.33333333333333331</v>
      </c>
      <c r="C49" s="19" t="str">
        <f>IF(B49&lt;0.5,"12:00 PM","5:00 PM")</f>
        <v>12:00 PM</v>
      </c>
      <c r="D49" s="2" t="s">
        <v>106</v>
      </c>
      <c r="E49" s="2" t="s">
        <v>4</v>
      </c>
      <c r="F49" s="2" t="s">
        <v>5</v>
      </c>
      <c r="G49" s="2" t="s">
        <v>6</v>
      </c>
      <c r="H49" s="6">
        <v>102</v>
      </c>
      <c r="I49" s="2">
        <v>6</v>
      </c>
      <c r="J49" s="2" t="s">
        <v>107</v>
      </c>
      <c r="K49" s="2" t="s">
        <v>400</v>
      </c>
      <c r="L49" s="14" t="s">
        <v>332</v>
      </c>
    </row>
    <row r="50" spans="1:12" s="2" customFormat="1" ht="10.5">
      <c r="A50" s="5">
        <v>46045</v>
      </c>
      <c r="B50" s="19">
        <v>0.33333333333333331</v>
      </c>
      <c r="C50" s="19" t="str">
        <f t="shared" ref="C50:C61" si="4">IF(B50&lt;0.5,"12:00 PM","5:00 PM")</f>
        <v>12:00 PM</v>
      </c>
      <c r="D50" s="2" t="s">
        <v>108</v>
      </c>
      <c r="E50" s="2" t="s">
        <v>60</v>
      </c>
      <c r="F50" s="2" t="s">
        <v>61</v>
      </c>
      <c r="G50" s="2" t="s">
        <v>62</v>
      </c>
      <c r="H50" s="6">
        <v>29</v>
      </c>
      <c r="I50" s="2">
        <v>3</v>
      </c>
      <c r="J50" s="2" t="s">
        <v>109</v>
      </c>
      <c r="K50" s="2" t="s">
        <v>404</v>
      </c>
      <c r="L50" s="14" t="s">
        <v>332</v>
      </c>
    </row>
    <row r="51" spans="1:12" s="2" customFormat="1" ht="10.5">
      <c r="A51" s="5">
        <v>46045</v>
      </c>
      <c r="B51" s="19">
        <v>0.33333333333333331</v>
      </c>
      <c r="C51" s="19" t="str">
        <f t="shared" si="4"/>
        <v>12:00 PM</v>
      </c>
      <c r="D51" s="2" t="s">
        <v>110</v>
      </c>
      <c r="E51" s="2" t="s">
        <v>60</v>
      </c>
      <c r="F51" s="2" t="s">
        <v>61</v>
      </c>
      <c r="G51" s="2" t="s">
        <v>96</v>
      </c>
      <c r="H51" s="6">
        <v>30</v>
      </c>
      <c r="I51" s="2">
        <v>4</v>
      </c>
      <c r="J51" s="2" t="s">
        <v>111</v>
      </c>
      <c r="K51" s="2" t="s">
        <v>401</v>
      </c>
      <c r="L51" s="14" t="s">
        <v>332</v>
      </c>
    </row>
    <row r="52" spans="1:12" s="2" customFormat="1" ht="10.5">
      <c r="A52" s="5">
        <v>46045</v>
      </c>
      <c r="B52" s="19">
        <v>0.33333333333333331</v>
      </c>
      <c r="C52" s="19" t="str">
        <f t="shared" si="4"/>
        <v>12:00 PM</v>
      </c>
      <c r="D52" s="2" t="s">
        <v>112</v>
      </c>
      <c r="E52" s="2" t="s">
        <v>60</v>
      </c>
      <c r="F52" s="2" t="s">
        <v>61</v>
      </c>
      <c r="G52" s="2" t="s">
        <v>113</v>
      </c>
      <c r="H52" s="6">
        <v>28</v>
      </c>
      <c r="I52" s="2">
        <v>3</v>
      </c>
      <c r="J52" s="2" t="s">
        <v>114</v>
      </c>
      <c r="K52" s="2" t="s">
        <v>402</v>
      </c>
      <c r="L52" s="14" t="s">
        <v>332</v>
      </c>
    </row>
    <row r="53" spans="1:12" s="2" customFormat="1" ht="10.5">
      <c r="A53" s="5">
        <v>46045</v>
      </c>
      <c r="B53" s="19">
        <v>0.33333333333333331</v>
      </c>
      <c r="C53" s="19" t="str">
        <f t="shared" si="4"/>
        <v>12:00 PM</v>
      </c>
      <c r="D53" s="2" t="s">
        <v>115</v>
      </c>
      <c r="E53" s="2" t="s">
        <v>9</v>
      </c>
      <c r="F53" s="2" t="s">
        <v>10</v>
      </c>
      <c r="G53" s="2" t="s">
        <v>116</v>
      </c>
      <c r="H53" s="6">
        <v>50</v>
      </c>
      <c r="I53" s="2">
        <v>4</v>
      </c>
      <c r="J53" s="2" t="s">
        <v>12</v>
      </c>
      <c r="L53" s="2" t="s">
        <v>333</v>
      </c>
    </row>
    <row r="54" spans="1:12" s="2" customFormat="1" ht="10.5">
      <c r="A54" s="5">
        <v>46045</v>
      </c>
      <c r="B54" s="19">
        <v>0.375</v>
      </c>
      <c r="C54" s="19" t="str">
        <f t="shared" si="4"/>
        <v>12:00 PM</v>
      </c>
      <c r="D54" s="2" t="s">
        <v>117</v>
      </c>
      <c r="E54" s="2" t="s">
        <v>31</v>
      </c>
      <c r="F54" s="2" t="s">
        <v>23</v>
      </c>
      <c r="G54" s="2" t="s">
        <v>118</v>
      </c>
      <c r="H54" s="6">
        <v>36</v>
      </c>
      <c r="I54" s="2">
        <v>4</v>
      </c>
      <c r="J54" s="2" t="s">
        <v>53</v>
      </c>
      <c r="L54" s="2" t="s">
        <v>333</v>
      </c>
    </row>
    <row r="55" spans="1:12" s="2" customFormat="1" ht="10.5">
      <c r="A55" s="5">
        <v>46045</v>
      </c>
      <c r="B55" s="20">
        <v>0.54166666666666663</v>
      </c>
      <c r="C55" s="19" t="str">
        <f t="shared" si="4"/>
        <v>5:00 PM</v>
      </c>
      <c r="D55" s="7" t="s">
        <v>119</v>
      </c>
      <c r="E55" s="7" t="s">
        <v>60</v>
      </c>
      <c r="F55" s="7" t="s">
        <v>61</v>
      </c>
      <c r="G55" s="7" t="s">
        <v>113</v>
      </c>
      <c r="H55" s="8">
        <v>7</v>
      </c>
      <c r="I55" s="7">
        <v>3</v>
      </c>
      <c r="J55" s="7" t="s">
        <v>114</v>
      </c>
      <c r="K55" s="2" t="s">
        <v>402</v>
      </c>
      <c r="L55" s="14" t="s">
        <v>332</v>
      </c>
    </row>
    <row r="56" spans="1:12" s="2" customFormat="1" ht="10.5">
      <c r="A56" s="5">
        <v>46045</v>
      </c>
      <c r="B56" s="20">
        <v>0.54166666666666663</v>
      </c>
      <c r="C56" s="19" t="str">
        <f t="shared" si="4"/>
        <v>5:00 PM</v>
      </c>
      <c r="D56" s="7" t="s">
        <v>120</v>
      </c>
      <c r="E56" s="7" t="s">
        <v>9</v>
      </c>
      <c r="F56" s="7" t="s">
        <v>10</v>
      </c>
      <c r="G56" s="7" t="s">
        <v>121</v>
      </c>
      <c r="H56" s="8">
        <v>11</v>
      </c>
      <c r="I56" s="7">
        <v>2</v>
      </c>
      <c r="J56" s="7" t="s">
        <v>36</v>
      </c>
      <c r="L56" s="7" t="s">
        <v>333</v>
      </c>
    </row>
    <row r="57" spans="1:12" s="2" customFormat="1" ht="10.5">
      <c r="A57" s="5">
        <v>46045</v>
      </c>
      <c r="B57" s="20">
        <v>0.54166666666666663</v>
      </c>
      <c r="C57" s="19" t="str">
        <f t="shared" si="4"/>
        <v>5:00 PM</v>
      </c>
      <c r="D57" s="7" t="s">
        <v>122</v>
      </c>
      <c r="E57" s="7" t="s">
        <v>60</v>
      </c>
      <c r="F57" s="7" t="s">
        <v>61</v>
      </c>
      <c r="G57" s="7" t="s">
        <v>96</v>
      </c>
      <c r="H57" s="8">
        <v>30</v>
      </c>
      <c r="I57" s="7">
        <v>4</v>
      </c>
      <c r="J57" s="7" t="s">
        <v>111</v>
      </c>
      <c r="K57" s="2" t="s">
        <v>401</v>
      </c>
      <c r="L57" s="14" t="s">
        <v>332</v>
      </c>
    </row>
    <row r="58" spans="1:12" s="2" customFormat="1" ht="10.5">
      <c r="A58" s="5">
        <v>46045</v>
      </c>
      <c r="B58" s="20">
        <v>0.54166666666666663</v>
      </c>
      <c r="C58" s="19" t="str">
        <f t="shared" si="4"/>
        <v>5:00 PM</v>
      </c>
      <c r="D58" s="7" t="s">
        <v>123</v>
      </c>
      <c r="E58" s="7" t="s">
        <v>60</v>
      </c>
      <c r="F58" s="7" t="s">
        <v>61</v>
      </c>
      <c r="G58" s="7" t="s">
        <v>62</v>
      </c>
      <c r="H58" s="8">
        <v>40</v>
      </c>
      <c r="I58" s="7">
        <v>3</v>
      </c>
      <c r="J58" s="7" t="s">
        <v>109</v>
      </c>
      <c r="K58" s="2" t="s">
        <v>404</v>
      </c>
      <c r="L58" s="14" t="s">
        <v>332</v>
      </c>
    </row>
    <row r="59" spans="1:12" s="2" customFormat="1" ht="10.5">
      <c r="A59" s="5">
        <v>46045</v>
      </c>
      <c r="B59" s="20">
        <v>0.54166666666666663</v>
      </c>
      <c r="C59" s="19" t="str">
        <f t="shared" si="4"/>
        <v>5:00 PM</v>
      </c>
      <c r="D59" s="7" t="s">
        <v>124</v>
      </c>
      <c r="E59" s="7" t="s">
        <v>9</v>
      </c>
      <c r="F59" s="7" t="s">
        <v>10</v>
      </c>
      <c r="G59" s="7" t="s">
        <v>116</v>
      </c>
      <c r="H59" s="8">
        <v>29</v>
      </c>
      <c r="I59" s="7">
        <v>2</v>
      </c>
      <c r="J59" s="7" t="s">
        <v>39</v>
      </c>
      <c r="L59" s="7" t="s">
        <v>333</v>
      </c>
    </row>
    <row r="60" spans="1:12" s="2" customFormat="1" ht="10.5">
      <c r="A60" s="5">
        <v>46045</v>
      </c>
      <c r="B60" s="20">
        <v>0.58333333333333337</v>
      </c>
      <c r="C60" s="19" t="str">
        <f t="shared" si="4"/>
        <v>5:00 PM</v>
      </c>
      <c r="D60" s="7" t="s">
        <v>125</v>
      </c>
      <c r="E60" s="7" t="s">
        <v>27</v>
      </c>
      <c r="F60" s="7" t="s">
        <v>23</v>
      </c>
      <c r="G60" s="7" t="s">
        <v>28</v>
      </c>
      <c r="H60" s="8">
        <v>41</v>
      </c>
      <c r="I60" s="7">
        <v>4</v>
      </c>
      <c r="J60" s="7" t="s">
        <v>56</v>
      </c>
      <c r="L60" s="7" t="s">
        <v>333</v>
      </c>
    </row>
    <row r="61" spans="1:12" s="2" customFormat="1" ht="10.5">
      <c r="A61" s="5">
        <v>46045</v>
      </c>
      <c r="B61" s="20">
        <v>0.58333333333333337</v>
      </c>
      <c r="C61" s="19" t="str">
        <f t="shared" si="4"/>
        <v>5:00 PM</v>
      </c>
      <c r="D61" s="7" t="s">
        <v>126</v>
      </c>
      <c r="E61" s="7" t="s">
        <v>31</v>
      </c>
      <c r="F61" s="7" t="s">
        <v>23</v>
      </c>
      <c r="G61" s="7" t="s">
        <v>102</v>
      </c>
      <c r="H61" s="8">
        <v>88</v>
      </c>
      <c r="I61" s="7">
        <v>4</v>
      </c>
      <c r="J61" s="7" t="s">
        <v>53</v>
      </c>
      <c r="L61" s="7" t="s">
        <v>333</v>
      </c>
    </row>
    <row r="62" spans="1:12" s="2" customFormat="1" ht="10.5">
      <c r="A62" s="5">
        <v>46046</v>
      </c>
      <c r="B62" s="19">
        <v>0.33333333333333331</v>
      </c>
      <c r="C62" s="19" t="str">
        <f>IF(B62&lt;0.5,"12:00 PM","5:00 PM")</f>
        <v>12:00 PM</v>
      </c>
      <c r="D62" s="2" t="s">
        <v>127</v>
      </c>
      <c r="E62" s="2" t="s">
        <v>60</v>
      </c>
      <c r="F62" s="2" t="s">
        <v>61</v>
      </c>
      <c r="G62" s="2" t="s">
        <v>62</v>
      </c>
      <c r="H62" s="6">
        <v>17</v>
      </c>
      <c r="I62" s="2">
        <v>2</v>
      </c>
      <c r="J62" s="2" t="s">
        <v>128</v>
      </c>
      <c r="L62" s="14" t="s">
        <v>332</v>
      </c>
    </row>
    <row r="63" spans="1:12" s="2" customFormat="1" ht="10.5">
      <c r="A63" s="5">
        <v>46046</v>
      </c>
      <c r="B63" s="19">
        <v>0.33333333333333331</v>
      </c>
      <c r="C63" s="19" t="str">
        <f t="shared" ref="C63:C69" si="5">IF(B63&lt;0.5,"12:00 PM","5:00 PM")</f>
        <v>12:00 PM</v>
      </c>
      <c r="D63" s="2" t="s">
        <v>129</v>
      </c>
      <c r="E63" s="2" t="s">
        <v>60</v>
      </c>
      <c r="F63" s="2" t="s">
        <v>61</v>
      </c>
      <c r="G63" s="2" t="s">
        <v>62</v>
      </c>
      <c r="H63" s="6">
        <v>12</v>
      </c>
      <c r="I63" s="2">
        <v>2</v>
      </c>
      <c r="J63" s="2" t="s">
        <v>130</v>
      </c>
      <c r="L63" s="2" t="s">
        <v>333</v>
      </c>
    </row>
    <row r="64" spans="1:12" s="2" customFormat="1" ht="10.5">
      <c r="A64" s="5">
        <v>46046</v>
      </c>
      <c r="B64" s="19">
        <v>0.33333333333333331</v>
      </c>
      <c r="C64" s="19" t="str">
        <f t="shared" si="5"/>
        <v>12:00 PM</v>
      </c>
      <c r="D64" s="2" t="s">
        <v>131</v>
      </c>
      <c r="E64" s="2" t="s">
        <v>9</v>
      </c>
      <c r="F64" s="2" t="s">
        <v>10</v>
      </c>
      <c r="G64" s="2" t="s">
        <v>11</v>
      </c>
      <c r="H64" s="6">
        <v>55</v>
      </c>
      <c r="I64" s="2">
        <v>4</v>
      </c>
      <c r="J64" s="2" t="s">
        <v>12</v>
      </c>
      <c r="L64" s="2" t="s">
        <v>333</v>
      </c>
    </row>
    <row r="65" spans="1:12" s="2" customFormat="1" ht="10.5">
      <c r="A65" s="5">
        <v>46046</v>
      </c>
      <c r="B65" s="19">
        <v>0.375</v>
      </c>
      <c r="C65" s="19" t="str">
        <f t="shared" si="5"/>
        <v>12:00 PM</v>
      </c>
      <c r="D65" s="2" t="s">
        <v>132</v>
      </c>
      <c r="E65" s="2" t="s">
        <v>133</v>
      </c>
      <c r="F65" s="2" t="s">
        <v>134</v>
      </c>
      <c r="G65" s="2" t="s">
        <v>135</v>
      </c>
      <c r="H65" s="6">
        <v>43</v>
      </c>
      <c r="I65" s="2">
        <v>5</v>
      </c>
      <c r="J65" s="2" t="s">
        <v>136</v>
      </c>
      <c r="K65" s="2" t="s">
        <v>412</v>
      </c>
      <c r="L65" s="14" t="s">
        <v>332</v>
      </c>
    </row>
    <row r="66" spans="1:12" s="2" customFormat="1" ht="10.5">
      <c r="A66" s="5">
        <v>46046</v>
      </c>
      <c r="B66" s="19">
        <v>0.375</v>
      </c>
      <c r="C66" s="19" t="str">
        <f t="shared" si="5"/>
        <v>12:00 PM</v>
      </c>
      <c r="D66" s="2" t="s">
        <v>137</v>
      </c>
      <c r="E66" s="2" t="s">
        <v>31</v>
      </c>
      <c r="F66" s="2" t="s">
        <v>23</v>
      </c>
      <c r="G66" s="2" t="s">
        <v>102</v>
      </c>
      <c r="H66" s="6">
        <v>15</v>
      </c>
      <c r="I66" s="2">
        <v>3</v>
      </c>
      <c r="J66" s="2" t="s">
        <v>138</v>
      </c>
      <c r="L66" s="2" t="s">
        <v>333</v>
      </c>
    </row>
    <row r="67" spans="1:12" s="2" customFormat="1" ht="10.5">
      <c r="A67" s="5">
        <v>46046</v>
      </c>
      <c r="B67" s="20">
        <v>0.54166666666666663</v>
      </c>
      <c r="C67" s="19" t="str">
        <f t="shared" si="5"/>
        <v>5:00 PM</v>
      </c>
      <c r="D67" s="7" t="s">
        <v>139</v>
      </c>
      <c r="E67" s="7" t="s">
        <v>133</v>
      </c>
      <c r="F67" s="7" t="s">
        <v>134</v>
      </c>
      <c r="G67" s="7" t="s">
        <v>321</v>
      </c>
      <c r="H67" s="8">
        <v>57</v>
      </c>
      <c r="I67" s="7">
        <v>5</v>
      </c>
      <c r="J67" s="7" t="s">
        <v>136</v>
      </c>
      <c r="K67" s="2" t="s">
        <v>412</v>
      </c>
      <c r="L67" s="14" t="s">
        <v>332</v>
      </c>
    </row>
    <row r="68" spans="1:12" s="2" customFormat="1" ht="10.5">
      <c r="A68" s="5">
        <v>46046</v>
      </c>
      <c r="B68" s="20">
        <v>0.54166666666666663</v>
      </c>
      <c r="C68" s="19" t="str">
        <f t="shared" si="5"/>
        <v>5:00 PM</v>
      </c>
      <c r="D68" s="7" t="s">
        <v>140</v>
      </c>
      <c r="E68" s="7" t="s">
        <v>60</v>
      </c>
      <c r="F68" s="7" t="s">
        <v>61</v>
      </c>
      <c r="G68" s="7" t="s">
        <v>322</v>
      </c>
      <c r="H68" s="8">
        <v>34</v>
      </c>
      <c r="I68" s="7">
        <v>4</v>
      </c>
      <c r="J68" s="7" t="s">
        <v>58</v>
      </c>
      <c r="L68" s="14" t="s">
        <v>332</v>
      </c>
    </row>
    <row r="69" spans="1:12" s="2" customFormat="1" ht="10.5">
      <c r="A69" s="5">
        <v>46046</v>
      </c>
      <c r="B69" s="20">
        <v>0.54166666666666663</v>
      </c>
      <c r="C69" s="19" t="str">
        <f t="shared" si="5"/>
        <v>5:00 PM</v>
      </c>
      <c r="D69" s="7" t="s">
        <v>141</v>
      </c>
      <c r="E69" s="7" t="s">
        <v>9</v>
      </c>
      <c r="F69" s="7" t="s">
        <v>10</v>
      </c>
      <c r="G69" s="7" t="s">
        <v>11</v>
      </c>
      <c r="H69" s="8">
        <v>39</v>
      </c>
      <c r="I69" s="7">
        <v>4</v>
      </c>
      <c r="J69" s="7" t="s">
        <v>12</v>
      </c>
      <c r="L69" s="7" t="s">
        <v>333</v>
      </c>
    </row>
    <row r="70" spans="1:12" s="2" customFormat="1" ht="10.5">
      <c r="A70" s="5">
        <v>46048</v>
      </c>
      <c r="B70" s="19">
        <v>0.33333333333333331</v>
      </c>
      <c r="C70" s="19" t="str">
        <f>IF(B70&lt;0.5,"12:00 PM","5:00 PM")</f>
        <v>12:00 PM</v>
      </c>
      <c r="D70" s="2" t="s">
        <v>337</v>
      </c>
      <c r="E70" s="2" t="s">
        <v>31</v>
      </c>
      <c r="F70" s="2" t="s">
        <v>5</v>
      </c>
      <c r="G70" s="2" t="s">
        <v>338</v>
      </c>
      <c r="H70" s="6">
        <v>29</v>
      </c>
      <c r="I70" s="2">
        <v>3</v>
      </c>
      <c r="J70" s="2" t="s">
        <v>346</v>
      </c>
      <c r="L70" s="2" t="s">
        <v>333</v>
      </c>
    </row>
    <row r="71" spans="1:12" s="2" customFormat="1" ht="10.5">
      <c r="A71" s="5">
        <v>46048</v>
      </c>
      <c r="B71" s="19">
        <v>0.33333333333333331</v>
      </c>
      <c r="C71" s="19" t="str">
        <f t="shared" ref="C71:C78" si="6">IF(B71&lt;0.5,"12:00 PM","5:00 PM")</f>
        <v>12:00 PM</v>
      </c>
      <c r="D71" s="2" t="s">
        <v>339</v>
      </c>
      <c r="E71" s="2" t="s">
        <v>149</v>
      </c>
      <c r="F71" s="2" t="s">
        <v>212</v>
      </c>
      <c r="G71" s="2" t="s">
        <v>340</v>
      </c>
      <c r="H71" s="6">
        <v>26</v>
      </c>
      <c r="I71" s="2">
        <v>3</v>
      </c>
      <c r="J71" s="2" t="s">
        <v>347</v>
      </c>
      <c r="K71" s="2" t="s">
        <v>408</v>
      </c>
      <c r="L71" s="14" t="s">
        <v>332</v>
      </c>
    </row>
    <row r="72" spans="1:12" s="2" customFormat="1" ht="10.5">
      <c r="A72" s="5">
        <v>46048</v>
      </c>
      <c r="B72" s="19">
        <v>0.375</v>
      </c>
      <c r="C72" s="19" t="str">
        <f t="shared" si="6"/>
        <v>12:00 PM</v>
      </c>
      <c r="D72" s="2" t="s">
        <v>341</v>
      </c>
      <c r="E72" s="2" t="s">
        <v>133</v>
      </c>
      <c r="F72" s="2" t="s">
        <v>134</v>
      </c>
      <c r="G72" s="2" t="s">
        <v>342</v>
      </c>
      <c r="H72" s="6">
        <v>27</v>
      </c>
      <c r="I72" s="2">
        <v>3</v>
      </c>
      <c r="J72" s="2" t="s">
        <v>348</v>
      </c>
      <c r="K72" s="2" t="s">
        <v>400</v>
      </c>
      <c r="L72" s="14" t="s">
        <v>332</v>
      </c>
    </row>
    <row r="73" spans="1:12" s="2" customFormat="1" ht="10.5">
      <c r="A73" s="5">
        <v>46048</v>
      </c>
      <c r="B73" s="19">
        <v>0.41666666666666669</v>
      </c>
      <c r="C73" s="19" t="str">
        <f t="shared" si="6"/>
        <v>12:00 PM</v>
      </c>
      <c r="D73" s="2" t="s">
        <v>343</v>
      </c>
      <c r="E73" s="2" t="s">
        <v>31</v>
      </c>
      <c r="F73" s="2" t="s">
        <v>5</v>
      </c>
      <c r="G73" s="2" t="s">
        <v>338</v>
      </c>
      <c r="H73" s="6">
        <v>42</v>
      </c>
      <c r="I73" s="2">
        <v>4</v>
      </c>
      <c r="J73" s="2" t="s">
        <v>53</v>
      </c>
      <c r="L73" s="2" t="s">
        <v>333</v>
      </c>
    </row>
    <row r="74" spans="1:12" s="2" customFormat="1" ht="10.5">
      <c r="A74" s="5">
        <v>46048</v>
      </c>
      <c r="B74" s="19">
        <v>0.45833333333333331</v>
      </c>
      <c r="C74" s="19" t="str">
        <f t="shared" si="6"/>
        <v>12:00 PM</v>
      </c>
      <c r="D74" s="2" t="s">
        <v>344</v>
      </c>
      <c r="E74" s="2" t="s">
        <v>133</v>
      </c>
      <c r="F74" s="2" t="s">
        <v>134</v>
      </c>
      <c r="G74" s="2" t="s">
        <v>345</v>
      </c>
      <c r="H74" s="6">
        <v>20</v>
      </c>
      <c r="I74" s="2">
        <v>3</v>
      </c>
      <c r="J74" s="2" t="s">
        <v>349</v>
      </c>
      <c r="L74" s="2" t="s">
        <v>333</v>
      </c>
    </row>
    <row r="75" spans="1:12" s="2" customFormat="1" ht="10.5">
      <c r="A75" s="5">
        <v>46048</v>
      </c>
      <c r="B75" s="20">
        <v>0.54166666666666663</v>
      </c>
      <c r="C75" s="19" t="str">
        <f t="shared" si="6"/>
        <v>5:00 PM</v>
      </c>
      <c r="D75" s="7" t="s">
        <v>350</v>
      </c>
      <c r="E75" s="7" t="s">
        <v>31</v>
      </c>
      <c r="F75" s="7" t="s">
        <v>5</v>
      </c>
      <c r="G75" s="7" t="s">
        <v>338</v>
      </c>
      <c r="H75" s="8">
        <v>48</v>
      </c>
      <c r="I75" s="7">
        <v>3</v>
      </c>
      <c r="J75" s="7" t="s">
        <v>346</v>
      </c>
      <c r="L75" s="7" t="s">
        <v>333</v>
      </c>
    </row>
    <row r="76" spans="1:12" s="2" customFormat="1" ht="10.5">
      <c r="A76" s="5">
        <v>46048</v>
      </c>
      <c r="B76" s="20">
        <v>0.5625</v>
      </c>
      <c r="C76" s="19" t="str">
        <f t="shared" si="6"/>
        <v>5:00 PM</v>
      </c>
      <c r="D76" s="7" t="s">
        <v>351</v>
      </c>
      <c r="E76" s="7" t="s">
        <v>133</v>
      </c>
      <c r="F76" s="7" t="s">
        <v>134</v>
      </c>
      <c r="G76" s="7" t="s">
        <v>342</v>
      </c>
      <c r="H76" s="8">
        <v>22</v>
      </c>
      <c r="I76" s="7">
        <v>3</v>
      </c>
      <c r="J76" s="7" t="s">
        <v>348</v>
      </c>
      <c r="K76" s="2" t="s">
        <v>400</v>
      </c>
      <c r="L76" s="14" t="s">
        <v>332</v>
      </c>
    </row>
    <row r="77" spans="1:12" s="2" customFormat="1" ht="10.5">
      <c r="A77" s="5">
        <v>46048</v>
      </c>
      <c r="B77" s="20">
        <v>0.625</v>
      </c>
      <c r="C77" s="19" t="str">
        <f t="shared" si="6"/>
        <v>5:00 PM</v>
      </c>
      <c r="D77" s="7" t="s">
        <v>352</v>
      </c>
      <c r="E77" s="7" t="s">
        <v>31</v>
      </c>
      <c r="F77" s="7" t="s">
        <v>5</v>
      </c>
      <c r="G77" s="7" t="s">
        <v>338</v>
      </c>
      <c r="H77" s="8">
        <v>37</v>
      </c>
      <c r="I77" s="7">
        <v>5</v>
      </c>
      <c r="J77" s="7" t="s">
        <v>355</v>
      </c>
      <c r="L77" s="7" t="s">
        <v>333</v>
      </c>
    </row>
    <row r="78" spans="1:12" s="2" customFormat="1" ht="10.5">
      <c r="A78" s="5">
        <v>46048</v>
      </c>
      <c r="B78" s="20">
        <v>0.64583333333333337</v>
      </c>
      <c r="C78" s="19" t="str">
        <f t="shared" si="6"/>
        <v>5:00 PM</v>
      </c>
      <c r="D78" s="7" t="s">
        <v>353</v>
      </c>
      <c r="E78" s="7" t="s">
        <v>133</v>
      </c>
      <c r="F78" s="7" t="s">
        <v>134</v>
      </c>
      <c r="G78" s="7" t="s">
        <v>354</v>
      </c>
      <c r="H78" s="8">
        <v>8</v>
      </c>
      <c r="I78" s="7">
        <v>3</v>
      </c>
      <c r="J78" s="7" t="s">
        <v>349</v>
      </c>
      <c r="L78" s="7" t="s">
        <v>333</v>
      </c>
    </row>
    <row r="79" spans="1:12" s="2" customFormat="1" ht="10.5">
      <c r="A79" s="5">
        <v>46049</v>
      </c>
      <c r="B79" s="19">
        <v>0.33333333333333331</v>
      </c>
      <c r="C79" s="19" t="str">
        <f>IF(B79&lt;0.5,"12:00 PM","5:00 PM")</f>
        <v>12:00 PM</v>
      </c>
      <c r="D79" s="2" t="s">
        <v>356</v>
      </c>
      <c r="E79" s="2" t="s">
        <v>133</v>
      </c>
      <c r="F79" s="2" t="s">
        <v>134</v>
      </c>
      <c r="G79" s="2" t="s">
        <v>357</v>
      </c>
      <c r="H79" s="6">
        <v>6</v>
      </c>
      <c r="I79" s="2">
        <v>2</v>
      </c>
      <c r="J79" s="2" t="s">
        <v>358</v>
      </c>
      <c r="L79" s="2" t="s">
        <v>333</v>
      </c>
    </row>
    <row r="80" spans="1:12" s="2" customFormat="1" ht="10.5">
      <c r="A80" s="5">
        <v>46049</v>
      </c>
      <c r="B80" s="19">
        <v>0.33333333333333331</v>
      </c>
      <c r="C80" s="19" t="str">
        <f t="shared" ref="C80:C87" si="7">IF(B80&lt;0.5,"12:00 PM","5:00 PM")</f>
        <v>12:00 PM</v>
      </c>
      <c r="D80" s="2" t="s">
        <v>359</v>
      </c>
      <c r="E80" s="2" t="s">
        <v>31</v>
      </c>
      <c r="F80" s="2" t="s">
        <v>5</v>
      </c>
      <c r="G80" s="2" t="s">
        <v>338</v>
      </c>
      <c r="H80" s="6">
        <v>76</v>
      </c>
      <c r="I80" s="2">
        <v>5</v>
      </c>
      <c r="J80" s="2" t="s">
        <v>360</v>
      </c>
      <c r="L80" s="2" t="s">
        <v>333</v>
      </c>
    </row>
    <row r="81" spans="1:12" s="2" customFormat="1" ht="10.5">
      <c r="A81" s="5">
        <v>46049</v>
      </c>
      <c r="B81" s="19">
        <v>0.375</v>
      </c>
      <c r="C81" s="19" t="str">
        <f t="shared" si="7"/>
        <v>12:00 PM</v>
      </c>
      <c r="D81" s="2" t="s">
        <v>361</v>
      </c>
      <c r="E81" s="2" t="s">
        <v>149</v>
      </c>
      <c r="F81" s="2" t="s">
        <v>5</v>
      </c>
      <c r="G81" s="2" t="s">
        <v>362</v>
      </c>
      <c r="H81" s="6">
        <v>75</v>
      </c>
      <c r="I81" s="2">
        <v>4</v>
      </c>
      <c r="J81" s="2" t="s">
        <v>363</v>
      </c>
      <c r="K81" s="2" t="s">
        <v>408</v>
      </c>
      <c r="L81" s="14" t="s">
        <v>332</v>
      </c>
    </row>
    <row r="82" spans="1:12" s="2" customFormat="1" ht="10.5">
      <c r="A82" s="5">
        <v>46049</v>
      </c>
      <c r="B82" s="19">
        <v>0.41666666666666669</v>
      </c>
      <c r="C82" s="19" t="str">
        <f t="shared" si="7"/>
        <v>12:00 PM</v>
      </c>
      <c r="D82" s="2" t="s">
        <v>364</v>
      </c>
      <c r="E82" s="2" t="s">
        <v>31</v>
      </c>
      <c r="F82" s="2" t="s">
        <v>5</v>
      </c>
      <c r="G82" s="2" t="s">
        <v>338</v>
      </c>
      <c r="H82" s="6">
        <v>46</v>
      </c>
      <c r="I82" s="2">
        <v>3</v>
      </c>
      <c r="J82" s="2" t="s">
        <v>365</v>
      </c>
      <c r="L82" s="2" t="s">
        <v>333</v>
      </c>
    </row>
    <row r="83" spans="1:12" s="2" customFormat="1" ht="10.5">
      <c r="A83" s="5">
        <v>46049</v>
      </c>
      <c r="B83" s="19">
        <v>0.45833333333333331</v>
      </c>
      <c r="C83" s="19" t="str">
        <f t="shared" si="7"/>
        <v>12:00 PM</v>
      </c>
      <c r="D83" s="2" t="s">
        <v>366</v>
      </c>
      <c r="E83" s="2" t="s">
        <v>133</v>
      </c>
      <c r="F83" s="2" t="s">
        <v>212</v>
      </c>
      <c r="G83" s="2" t="s">
        <v>367</v>
      </c>
      <c r="H83" s="6">
        <v>6</v>
      </c>
      <c r="I83" s="2">
        <v>2</v>
      </c>
      <c r="J83" s="2" t="s">
        <v>368</v>
      </c>
      <c r="L83" s="2" t="s">
        <v>333</v>
      </c>
    </row>
    <row r="84" spans="1:12" s="2" customFormat="1" ht="10.5">
      <c r="A84" s="5">
        <v>46049</v>
      </c>
      <c r="B84" s="20">
        <v>0.54166666666666663</v>
      </c>
      <c r="C84" s="19" t="str">
        <f t="shared" si="7"/>
        <v>5:00 PM</v>
      </c>
      <c r="D84" s="7" t="s">
        <v>369</v>
      </c>
      <c r="E84" s="7" t="s">
        <v>133</v>
      </c>
      <c r="F84" s="7" t="s">
        <v>212</v>
      </c>
      <c r="G84" s="7" t="s">
        <v>370</v>
      </c>
      <c r="H84" s="8">
        <v>9</v>
      </c>
      <c r="I84" s="7">
        <v>2</v>
      </c>
      <c r="J84" s="7" t="s">
        <v>368</v>
      </c>
      <c r="L84" s="7" t="s">
        <v>333</v>
      </c>
    </row>
    <row r="85" spans="1:12" s="2" customFormat="1" ht="10.5">
      <c r="A85" s="5">
        <v>46049</v>
      </c>
      <c r="B85" s="20">
        <v>0.54166666666666663</v>
      </c>
      <c r="C85" s="19" t="str">
        <f t="shared" si="7"/>
        <v>5:00 PM</v>
      </c>
      <c r="D85" s="7" t="s">
        <v>371</v>
      </c>
      <c r="E85" s="7" t="s">
        <v>31</v>
      </c>
      <c r="F85" s="7" t="s">
        <v>5</v>
      </c>
      <c r="G85" s="7" t="s">
        <v>338</v>
      </c>
      <c r="H85" s="8">
        <v>59</v>
      </c>
      <c r="I85" s="7">
        <v>5</v>
      </c>
      <c r="J85" s="7" t="s">
        <v>360</v>
      </c>
      <c r="L85" s="7" t="s">
        <v>333</v>
      </c>
    </row>
    <row r="86" spans="1:12" s="2" customFormat="1" ht="10.5">
      <c r="A86" s="5">
        <v>46049</v>
      </c>
      <c r="B86" s="20">
        <v>0.625</v>
      </c>
      <c r="C86" s="19" t="str">
        <f t="shared" si="7"/>
        <v>5:00 PM</v>
      </c>
      <c r="D86" s="7" t="s">
        <v>372</v>
      </c>
      <c r="E86" s="7" t="s">
        <v>133</v>
      </c>
      <c r="F86" s="7" t="s">
        <v>212</v>
      </c>
      <c r="G86" s="7" t="s">
        <v>370</v>
      </c>
      <c r="H86" s="8">
        <v>3</v>
      </c>
      <c r="I86" s="7">
        <v>2</v>
      </c>
      <c r="J86" s="7" t="s">
        <v>368</v>
      </c>
      <c r="L86" s="7" t="s">
        <v>333</v>
      </c>
    </row>
    <row r="87" spans="1:12" s="2" customFormat="1" ht="10.5">
      <c r="A87" s="5">
        <v>46049</v>
      </c>
      <c r="B87" s="20">
        <v>0.625</v>
      </c>
      <c r="C87" s="19" t="str">
        <f t="shared" si="7"/>
        <v>5:00 PM</v>
      </c>
      <c r="D87" s="7" t="s">
        <v>373</v>
      </c>
      <c r="E87" s="7" t="s">
        <v>31</v>
      </c>
      <c r="F87" s="7" t="s">
        <v>5</v>
      </c>
      <c r="G87" s="7" t="s">
        <v>338</v>
      </c>
      <c r="H87" s="8">
        <v>52</v>
      </c>
      <c r="I87" s="7">
        <v>4</v>
      </c>
      <c r="J87" s="7" t="s">
        <v>374</v>
      </c>
      <c r="L87" s="7" t="s">
        <v>333</v>
      </c>
    </row>
    <row r="88" spans="1:12" s="2" customFormat="1" ht="10.5">
      <c r="A88" s="5">
        <v>46050</v>
      </c>
      <c r="B88" s="19">
        <v>0.33333333333333331</v>
      </c>
      <c r="C88" s="19" t="str">
        <f>IF(B88&lt;0.5,"12:00 PM","5:00 PM")</f>
        <v>12:00 PM</v>
      </c>
      <c r="D88" s="2" t="s">
        <v>375</v>
      </c>
      <c r="E88" s="2" t="s">
        <v>31</v>
      </c>
      <c r="F88" s="2" t="s">
        <v>5</v>
      </c>
      <c r="G88" s="2" t="s">
        <v>376</v>
      </c>
      <c r="H88" s="6">
        <v>41</v>
      </c>
      <c r="I88" s="2">
        <v>5</v>
      </c>
      <c r="J88" s="2" t="s">
        <v>29</v>
      </c>
      <c r="L88" s="2" t="s">
        <v>333</v>
      </c>
    </row>
    <row r="89" spans="1:12" s="2" customFormat="1" ht="10.5">
      <c r="A89" s="5">
        <v>46050</v>
      </c>
      <c r="B89" s="19">
        <v>0.33333333333333331</v>
      </c>
      <c r="C89" s="19" t="str">
        <f t="shared" ref="C89:C92" si="8">IF(B89&lt;0.5,"12:00 PM","5:00 PM")</f>
        <v>12:00 PM</v>
      </c>
      <c r="D89" s="2" t="s">
        <v>377</v>
      </c>
      <c r="E89" s="2" t="s">
        <v>149</v>
      </c>
      <c r="F89" s="2" t="s">
        <v>212</v>
      </c>
      <c r="G89" s="2" t="s">
        <v>221</v>
      </c>
      <c r="H89" s="6">
        <v>53</v>
      </c>
      <c r="I89" s="2">
        <v>4</v>
      </c>
      <c r="J89" s="2" t="s">
        <v>378</v>
      </c>
      <c r="K89" s="2" t="s">
        <v>400</v>
      </c>
      <c r="L89" s="14" t="s">
        <v>332</v>
      </c>
    </row>
    <row r="90" spans="1:12" s="2" customFormat="1" ht="10.5">
      <c r="A90" s="5">
        <v>46050</v>
      </c>
      <c r="B90" s="19">
        <v>0.41666666666666669</v>
      </c>
      <c r="C90" s="19" t="str">
        <f t="shared" si="8"/>
        <v>12:00 PM</v>
      </c>
      <c r="D90" s="2" t="s">
        <v>379</v>
      </c>
      <c r="E90" s="2" t="s">
        <v>31</v>
      </c>
      <c r="F90" s="2" t="s">
        <v>5</v>
      </c>
      <c r="G90" s="2" t="s">
        <v>376</v>
      </c>
      <c r="H90" s="6">
        <v>11</v>
      </c>
      <c r="I90" s="2">
        <v>2</v>
      </c>
      <c r="J90" s="2" t="s">
        <v>380</v>
      </c>
      <c r="L90" s="2" t="s">
        <v>333</v>
      </c>
    </row>
    <row r="91" spans="1:12" s="2" customFormat="1" ht="10.5">
      <c r="A91" s="5">
        <v>46050</v>
      </c>
      <c r="B91" s="20">
        <v>0.54166666666666663</v>
      </c>
      <c r="C91" s="19" t="str">
        <f t="shared" si="8"/>
        <v>5:00 PM</v>
      </c>
      <c r="D91" s="7" t="s">
        <v>174</v>
      </c>
      <c r="E91" s="7" t="s">
        <v>149</v>
      </c>
      <c r="F91" s="7" t="s">
        <v>212</v>
      </c>
      <c r="G91" s="7" t="s">
        <v>221</v>
      </c>
      <c r="H91" s="8">
        <v>56</v>
      </c>
      <c r="I91" s="7">
        <v>4</v>
      </c>
      <c r="J91" s="7" t="s">
        <v>378</v>
      </c>
      <c r="K91" s="2" t="s">
        <v>400</v>
      </c>
      <c r="L91" s="14" t="s">
        <v>332</v>
      </c>
    </row>
    <row r="92" spans="1:12" s="2" customFormat="1" ht="10.5">
      <c r="A92" s="5">
        <v>46050</v>
      </c>
      <c r="B92" s="20">
        <v>0.54166666666666663</v>
      </c>
      <c r="C92" s="19" t="str">
        <f t="shared" si="8"/>
        <v>5:00 PM</v>
      </c>
      <c r="D92" s="7" t="s">
        <v>381</v>
      </c>
      <c r="E92" s="7" t="s">
        <v>31</v>
      </c>
      <c r="F92" s="7" t="s">
        <v>5</v>
      </c>
      <c r="G92" s="7" t="s">
        <v>376</v>
      </c>
      <c r="H92" s="8">
        <v>65</v>
      </c>
      <c r="I92" s="7">
        <v>5</v>
      </c>
      <c r="J92" s="7" t="s">
        <v>29</v>
      </c>
      <c r="L92" s="7" t="s">
        <v>333</v>
      </c>
    </row>
    <row r="93" spans="1:12" s="2" customFormat="1" ht="10.5">
      <c r="A93" s="5">
        <v>46051</v>
      </c>
      <c r="B93" s="19">
        <v>0.375</v>
      </c>
      <c r="C93" s="19" t="str">
        <f>IF(B93&lt;0.5,"12:00 PM","5:00 PM")</f>
        <v>12:00 PM</v>
      </c>
      <c r="D93" s="2" t="s">
        <v>382</v>
      </c>
      <c r="E93" s="2" t="s">
        <v>149</v>
      </c>
      <c r="F93" s="2" t="s">
        <v>212</v>
      </c>
      <c r="G93" s="2" t="s">
        <v>213</v>
      </c>
      <c r="H93" s="6">
        <v>15</v>
      </c>
      <c r="I93" s="2">
        <v>3</v>
      </c>
      <c r="J93" s="2" t="s">
        <v>347</v>
      </c>
      <c r="K93" s="2" t="s">
        <v>408</v>
      </c>
      <c r="L93" s="14" t="s">
        <v>332</v>
      </c>
    </row>
    <row r="94" spans="1:12" s="2" customFormat="1" ht="10.5">
      <c r="A94" s="5">
        <v>46051</v>
      </c>
      <c r="B94" s="19">
        <v>0.375</v>
      </c>
      <c r="C94" s="19" t="str">
        <f t="shared" ref="C94:C97" si="9">IF(B94&lt;0.5,"12:00 PM","5:00 PM")</f>
        <v>12:00 PM</v>
      </c>
      <c r="D94" s="2" t="s">
        <v>383</v>
      </c>
      <c r="E94" s="2" t="s">
        <v>31</v>
      </c>
      <c r="F94" s="2" t="s">
        <v>5</v>
      </c>
      <c r="G94" s="2" t="s">
        <v>384</v>
      </c>
      <c r="H94" s="6">
        <v>42</v>
      </c>
      <c r="I94" s="2">
        <v>4</v>
      </c>
      <c r="J94" s="2" t="s">
        <v>53</v>
      </c>
      <c r="L94" s="2" t="s">
        <v>333</v>
      </c>
    </row>
    <row r="95" spans="1:12" s="2" customFormat="1" ht="10.5">
      <c r="A95" s="5">
        <v>46051</v>
      </c>
      <c r="B95" s="19">
        <v>0.375</v>
      </c>
      <c r="C95" s="19" t="str">
        <f t="shared" si="9"/>
        <v>12:00 PM</v>
      </c>
      <c r="D95" s="2" t="s">
        <v>383</v>
      </c>
      <c r="E95" s="2" t="s">
        <v>31</v>
      </c>
      <c r="F95" s="2" t="s">
        <v>5</v>
      </c>
      <c r="G95" s="2" t="s">
        <v>155</v>
      </c>
      <c r="H95" s="6">
        <v>2</v>
      </c>
      <c r="I95" s="2">
        <v>4</v>
      </c>
      <c r="J95" s="2" t="s">
        <v>53</v>
      </c>
      <c r="L95" s="2" t="s">
        <v>333</v>
      </c>
    </row>
    <row r="96" spans="1:12" s="2" customFormat="1" ht="10.5">
      <c r="A96" s="5">
        <v>46051</v>
      </c>
      <c r="B96" s="20">
        <v>0.54166666666666663</v>
      </c>
      <c r="C96" s="19" t="str">
        <f t="shared" si="9"/>
        <v>5:00 PM</v>
      </c>
      <c r="D96" s="7" t="s">
        <v>385</v>
      </c>
      <c r="E96" s="7" t="s">
        <v>149</v>
      </c>
      <c r="F96" s="7" t="s">
        <v>212</v>
      </c>
      <c r="G96" s="7" t="s">
        <v>213</v>
      </c>
      <c r="H96" s="8">
        <v>29</v>
      </c>
      <c r="I96" s="7">
        <v>3</v>
      </c>
      <c r="J96" s="7" t="s">
        <v>347</v>
      </c>
      <c r="K96" s="2" t="s">
        <v>408</v>
      </c>
      <c r="L96" s="14" t="s">
        <v>332</v>
      </c>
    </row>
    <row r="97" spans="1:12" s="2" customFormat="1" ht="10.5">
      <c r="A97" s="5">
        <v>46051</v>
      </c>
      <c r="B97" s="20">
        <v>0.54166666666666663</v>
      </c>
      <c r="C97" s="19" t="str">
        <f t="shared" si="9"/>
        <v>5:00 PM</v>
      </c>
      <c r="D97" s="7" t="s">
        <v>386</v>
      </c>
      <c r="E97" s="7" t="s">
        <v>31</v>
      </c>
      <c r="F97" s="7" t="s">
        <v>5</v>
      </c>
      <c r="G97" s="7" t="s">
        <v>384</v>
      </c>
      <c r="H97" s="8">
        <v>45</v>
      </c>
      <c r="I97" s="7">
        <v>4</v>
      </c>
      <c r="J97" s="7" t="s">
        <v>56</v>
      </c>
      <c r="L97" s="7" t="s">
        <v>333</v>
      </c>
    </row>
    <row r="98" spans="1:12" s="2" customFormat="1" ht="10.5">
      <c r="A98" s="5">
        <v>46052</v>
      </c>
      <c r="B98" s="19">
        <v>0.375</v>
      </c>
      <c r="C98" s="19" t="str">
        <f>IF(B98&lt;0.5,"12:00 PM","5:00 PM")</f>
        <v>12:00 PM</v>
      </c>
      <c r="D98" s="2" t="s">
        <v>387</v>
      </c>
      <c r="E98" s="2" t="s">
        <v>31</v>
      </c>
      <c r="F98" s="2" t="s">
        <v>5</v>
      </c>
      <c r="G98" s="2" t="s">
        <v>388</v>
      </c>
      <c r="H98" s="6">
        <v>121</v>
      </c>
      <c r="I98" s="2">
        <v>8</v>
      </c>
      <c r="J98" s="2" t="s">
        <v>389</v>
      </c>
      <c r="L98" s="2" t="s">
        <v>333</v>
      </c>
    </row>
    <row r="99" spans="1:12" s="2" customFormat="1">
      <c r="A99"/>
      <c r="B99" s="21"/>
      <c r="C99" s="21"/>
      <c r="D99"/>
      <c r="E99"/>
      <c r="F99"/>
      <c r="G99"/>
      <c r="H99"/>
      <c r="I99"/>
      <c r="J99"/>
      <c r="K99"/>
      <c r="L99"/>
    </row>
    <row r="100" spans="1:12" s="2" customFormat="1">
      <c r="A100"/>
      <c r="B100" s="21"/>
      <c r="C100" s="21"/>
      <c r="D100"/>
      <c r="E100"/>
      <c r="F100"/>
      <c r="G100"/>
      <c r="H100"/>
      <c r="I100"/>
      <c r="J100"/>
      <c r="K100"/>
      <c r="L100"/>
    </row>
    <row r="101" spans="1:12" s="2" customFormat="1">
      <c r="A101"/>
      <c r="B101" s="21"/>
      <c r="C101" s="21"/>
      <c r="D101"/>
      <c r="E101"/>
      <c r="F101"/>
      <c r="G101"/>
      <c r="H101"/>
      <c r="I101"/>
      <c r="J101"/>
      <c r="K101"/>
      <c r="L101"/>
    </row>
    <row r="102" spans="1:12" s="2" customFormat="1">
      <c r="A102"/>
      <c r="B102" s="21"/>
      <c r="C102" s="21"/>
      <c r="D102"/>
      <c r="E102"/>
      <c r="F102"/>
      <c r="G102"/>
      <c r="H102"/>
      <c r="I102"/>
      <c r="J102"/>
      <c r="K102"/>
      <c r="L102"/>
    </row>
    <row r="103" spans="1:12" s="2" customFormat="1">
      <c r="A103"/>
      <c r="B103" s="21"/>
      <c r="C103" s="21"/>
      <c r="D103"/>
      <c r="E103"/>
      <c r="F103"/>
      <c r="G103"/>
      <c r="H103"/>
      <c r="I103"/>
      <c r="J103"/>
      <c r="K103"/>
      <c r="L103"/>
    </row>
    <row r="104" spans="1:12" s="2" customFormat="1">
      <c r="A104"/>
      <c r="B104" s="21"/>
      <c r="C104" s="21"/>
      <c r="D104"/>
      <c r="E104"/>
      <c r="F104"/>
      <c r="G104"/>
      <c r="H104"/>
      <c r="I104"/>
      <c r="J104"/>
      <c r="K104"/>
      <c r="L104"/>
    </row>
    <row r="105" spans="1:12" s="2" customFormat="1">
      <c r="A105"/>
      <c r="B105" s="21"/>
      <c r="C105" s="21"/>
      <c r="D105"/>
      <c r="E105"/>
      <c r="F105"/>
      <c r="G105"/>
      <c r="H105"/>
      <c r="I105"/>
      <c r="J105"/>
      <c r="K105"/>
      <c r="L105"/>
    </row>
    <row r="106" spans="1:12" s="2" customFormat="1">
      <c r="A106"/>
      <c r="B106" s="21"/>
      <c r="C106" s="21"/>
      <c r="D106"/>
      <c r="E106"/>
      <c r="F106"/>
      <c r="G106"/>
      <c r="H106"/>
      <c r="I106"/>
      <c r="J106"/>
      <c r="K106"/>
      <c r="L106"/>
    </row>
    <row r="107" spans="1:12" s="2" customFormat="1">
      <c r="A107"/>
      <c r="B107" s="21"/>
      <c r="C107" s="21"/>
      <c r="D107"/>
      <c r="E107"/>
      <c r="F107"/>
      <c r="G107"/>
      <c r="H107"/>
      <c r="I107"/>
      <c r="J107"/>
      <c r="K107"/>
      <c r="L107"/>
    </row>
    <row r="108" spans="1:12" s="2" customFormat="1">
      <c r="A108"/>
      <c r="B108" s="21"/>
      <c r="C108" s="21"/>
      <c r="D108"/>
      <c r="E108"/>
      <c r="F108"/>
      <c r="G108"/>
      <c r="H108"/>
      <c r="I108"/>
      <c r="J108"/>
      <c r="K108"/>
      <c r="L108"/>
    </row>
    <row r="109" spans="1:12" s="2" customFormat="1">
      <c r="A109"/>
      <c r="B109" s="21"/>
      <c r="C109" s="21"/>
      <c r="D109"/>
      <c r="E109"/>
      <c r="F109"/>
      <c r="G109"/>
      <c r="H109"/>
      <c r="I109"/>
      <c r="J109"/>
      <c r="K109"/>
      <c r="L109"/>
    </row>
    <row r="110" spans="1:12" s="2" customFormat="1">
      <c r="A110"/>
      <c r="B110" s="21"/>
      <c r="C110" s="21"/>
      <c r="D110"/>
      <c r="E110"/>
      <c r="F110"/>
      <c r="G110"/>
      <c r="H110"/>
      <c r="I110"/>
      <c r="J110"/>
      <c r="K110"/>
      <c r="L110"/>
    </row>
  </sheetData>
  <autoFilter ref="A1:K98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53"/>
  <sheetViews>
    <sheetView showGridLines="0" tabSelected="1" zoomScale="104" workbookViewId="0">
      <pane ySplit="2" topLeftCell="A124" activePane="bottomLeft" state="frozen"/>
      <selection pane="bottomLeft" activeCell="I139" sqref="I139"/>
    </sheetView>
  </sheetViews>
  <sheetFormatPr defaultColWidth="8.9140625" defaultRowHeight="14"/>
  <cols>
    <col min="1" max="1" width="10" bestFit="1" customWidth="1"/>
    <col min="2" max="2" width="11.08203125" style="25" bestFit="1" customWidth="1"/>
    <col min="3" max="3" width="11.08203125" style="25" customWidth="1"/>
    <col min="4" max="4" width="37.83203125" style="12" bestFit="1" customWidth="1"/>
    <col min="5" max="5" width="3.83203125" bestFit="1" customWidth="1"/>
    <col min="6" max="6" width="9.9140625" bestFit="1" customWidth="1"/>
    <col min="7" max="7" width="21.6640625" bestFit="1" customWidth="1"/>
    <col min="8" max="8" width="4.1640625" bestFit="1" customWidth="1"/>
  </cols>
  <sheetData>
    <row r="1" spans="1:11" s="1" customFormat="1" ht="10.5">
      <c r="A1" s="3" t="s">
        <v>163</v>
      </c>
      <c r="B1" s="22" t="s">
        <v>416</v>
      </c>
      <c r="C1" s="22" t="s">
        <v>415</v>
      </c>
      <c r="D1" s="9" t="s">
        <v>164</v>
      </c>
      <c r="E1" s="4" t="s">
        <v>0</v>
      </c>
      <c r="F1" s="4" t="s">
        <v>165</v>
      </c>
      <c r="G1" s="4" t="s">
        <v>166</v>
      </c>
      <c r="H1" s="4" t="s">
        <v>142</v>
      </c>
    </row>
    <row r="2" spans="1:11" s="1" customFormat="1" ht="10.5">
      <c r="A2" s="5">
        <v>46041</v>
      </c>
      <c r="B2" s="23">
        <v>0.33333333333333331</v>
      </c>
      <c r="C2" s="23" t="str">
        <f>IF(B2="","",IF(B2&lt;0.5,"12:00 PM","5:00 PM"))</f>
        <v>12:00 PM</v>
      </c>
      <c r="D2" s="10" t="s">
        <v>143</v>
      </c>
      <c r="E2" s="2" t="s">
        <v>18</v>
      </c>
      <c r="F2" s="2" t="s">
        <v>5</v>
      </c>
      <c r="G2" s="2" t="s">
        <v>19</v>
      </c>
      <c r="H2" s="6">
        <v>50</v>
      </c>
    </row>
    <row r="3" spans="1:11" s="2" customFormat="1" ht="10.5">
      <c r="A3" s="5">
        <v>46041</v>
      </c>
      <c r="B3" s="23">
        <v>0.33333333333333331</v>
      </c>
      <c r="C3" s="23" t="str">
        <f t="shared" ref="C3:C64" si="0">IF(B3="","",IF(B3&lt;0.5,"12:00 PM","5:00 PM"))</f>
        <v>12:00 PM</v>
      </c>
      <c r="D3" s="10" t="s">
        <v>144</v>
      </c>
      <c r="E3" s="2" t="s">
        <v>22</v>
      </c>
      <c r="F3" s="2" t="s">
        <v>23</v>
      </c>
      <c r="G3" s="2" t="s">
        <v>145</v>
      </c>
      <c r="H3" s="6">
        <v>135</v>
      </c>
    </row>
    <row r="4" spans="1:11" s="2" customFormat="1" ht="10.5">
      <c r="A4" s="5">
        <v>46041</v>
      </c>
      <c r="B4" s="23">
        <v>0.33333333333333331</v>
      </c>
      <c r="C4" s="23" t="str">
        <f t="shared" si="0"/>
        <v>12:00 PM</v>
      </c>
      <c r="D4" s="10" t="s">
        <v>146</v>
      </c>
      <c r="E4" s="2" t="s">
        <v>60</v>
      </c>
      <c r="F4" s="2" t="s">
        <v>61</v>
      </c>
      <c r="G4" s="2" t="s">
        <v>147</v>
      </c>
      <c r="H4" s="6">
        <v>23</v>
      </c>
    </row>
    <row r="5" spans="1:11" s="2" customFormat="1" ht="10.5">
      <c r="A5" s="5">
        <v>46041</v>
      </c>
      <c r="B5" s="23">
        <v>0.33333333333333331</v>
      </c>
      <c r="C5" s="23" t="str">
        <f t="shared" si="0"/>
        <v>12:00 PM</v>
      </c>
      <c r="D5" s="10" t="s">
        <v>148</v>
      </c>
      <c r="E5" s="2" t="s">
        <v>149</v>
      </c>
      <c r="F5" s="2" t="s">
        <v>5</v>
      </c>
      <c r="G5" s="2" t="s">
        <v>150</v>
      </c>
      <c r="H5" s="6">
        <v>26</v>
      </c>
    </row>
    <row r="6" spans="1:11" s="2" customFormat="1" ht="10.5">
      <c r="A6" s="5">
        <v>46041</v>
      </c>
      <c r="B6" s="23">
        <v>0.33333333333333331</v>
      </c>
      <c r="C6" s="23" t="str">
        <f t="shared" si="0"/>
        <v>12:00 PM</v>
      </c>
      <c r="D6" s="10" t="s">
        <v>151</v>
      </c>
      <c r="E6" s="2" t="s">
        <v>60</v>
      </c>
      <c r="F6" s="2" t="s">
        <v>61</v>
      </c>
      <c r="G6" s="2" t="s">
        <v>152</v>
      </c>
      <c r="H6" s="6">
        <v>28</v>
      </c>
    </row>
    <row r="7" spans="1:11" s="2" customFormat="1" ht="10.5">
      <c r="A7" s="5">
        <v>46041</v>
      </c>
      <c r="B7" s="23">
        <v>0.33333333333333331</v>
      </c>
      <c r="C7" s="23" t="str">
        <f t="shared" si="0"/>
        <v>12:00 PM</v>
      </c>
      <c r="D7" s="10" t="s">
        <v>153</v>
      </c>
      <c r="E7" s="2" t="s">
        <v>60</v>
      </c>
      <c r="F7" s="2" t="s">
        <v>61</v>
      </c>
      <c r="G7" s="2" t="s">
        <v>62</v>
      </c>
      <c r="H7" s="6">
        <v>47</v>
      </c>
    </row>
    <row r="8" spans="1:11" s="2" customFormat="1" ht="10.5">
      <c r="A8" s="5">
        <v>46041</v>
      </c>
      <c r="B8" s="23">
        <v>0.33333333333333331</v>
      </c>
      <c r="C8" s="23" t="str">
        <f t="shared" si="0"/>
        <v>12:00 PM</v>
      </c>
      <c r="D8" s="2" t="s">
        <v>8</v>
      </c>
      <c r="E8" s="2" t="s">
        <v>9</v>
      </c>
      <c r="F8" s="2" t="s">
        <v>10</v>
      </c>
      <c r="G8" s="2" t="s">
        <v>11</v>
      </c>
      <c r="H8" s="6">
        <v>81</v>
      </c>
    </row>
    <row r="9" spans="1:11" s="2" customFormat="1" ht="10.5">
      <c r="A9" s="5">
        <v>46041</v>
      </c>
      <c r="B9" s="23">
        <v>0.33333333333333331</v>
      </c>
      <c r="C9" s="23" t="str">
        <f t="shared" si="0"/>
        <v>12:00 PM</v>
      </c>
      <c r="D9" s="10" t="s">
        <v>156</v>
      </c>
      <c r="E9" s="2" t="s">
        <v>9</v>
      </c>
      <c r="F9" s="2" t="s">
        <v>10</v>
      </c>
      <c r="G9" s="2" t="s">
        <v>157</v>
      </c>
      <c r="H9" s="6">
        <v>39</v>
      </c>
    </row>
    <row r="10" spans="1:11" s="2" customFormat="1" ht="10.5">
      <c r="A10" s="5">
        <v>46041</v>
      </c>
      <c r="B10" s="23">
        <v>0.35416666666666669</v>
      </c>
      <c r="C10" s="23" t="str">
        <f t="shared" si="0"/>
        <v>12:00 PM</v>
      </c>
      <c r="D10" s="10" t="s">
        <v>158</v>
      </c>
      <c r="E10" s="2" t="s">
        <v>27</v>
      </c>
      <c r="F10" s="2" t="s">
        <v>23</v>
      </c>
      <c r="G10" s="2" t="s">
        <v>84</v>
      </c>
      <c r="H10" s="6">
        <v>34</v>
      </c>
      <c r="K10" s="13"/>
    </row>
    <row r="11" spans="1:11" s="2" customFormat="1" ht="10.5">
      <c r="A11" s="5">
        <v>46041</v>
      </c>
      <c r="B11" s="23">
        <v>0.375</v>
      </c>
      <c r="C11" s="23" t="str">
        <f t="shared" si="0"/>
        <v>12:00 PM</v>
      </c>
      <c r="D11" s="10" t="s">
        <v>159</v>
      </c>
      <c r="E11" s="2" t="s">
        <v>133</v>
      </c>
      <c r="F11" s="2" t="s">
        <v>160</v>
      </c>
      <c r="G11" s="2" t="s">
        <v>323</v>
      </c>
      <c r="H11" s="6">
        <v>53</v>
      </c>
    </row>
    <row r="12" spans="1:11" s="2" customFormat="1" ht="10.5">
      <c r="A12" s="5">
        <v>46041</v>
      </c>
      <c r="B12" s="24">
        <v>0.54166666666666663</v>
      </c>
      <c r="C12" s="23" t="str">
        <f t="shared" si="0"/>
        <v>5:00 PM</v>
      </c>
      <c r="D12" s="11" t="s">
        <v>167</v>
      </c>
      <c r="E12" s="7" t="s">
        <v>22</v>
      </c>
      <c r="F12" s="7" t="s">
        <v>23</v>
      </c>
      <c r="G12" s="7" t="s">
        <v>145</v>
      </c>
      <c r="H12" s="8">
        <v>34</v>
      </c>
    </row>
    <row r="13" spans="1:11" s="2" customFormat="1" ht="10.5">
      <c r="A13" s="5">
        <v>46041</v>
      </c>
      <c r="B13" s="24">
        <v>0.54166666666666663</v>
      </c>
      <c r="C13" s="23" t="str">
        <f t="shared" si="0"/>
        <v>5:00 PM</v>
      </c>
      <c r="D13" s="11" t="s">
        <v>168</v>
      </c>
      <c r="E13" s="7" t="s">
        <v>60</v>
      </c>
      <c r="F13" s="7" t="s">
        <v>61</v>
      </c>
      <c r="G13" s="7" t="s">
        <v>62</v>
      </c>
      <c r="H13" s="8">
        <v>77</v>
      </c>
    </row>
    <row r="14" spans="1:11" s="2" customFormat="1" ht="10.5">
      <c r="A14" s="5">
        <v>46041</v>
      </c>
      <c r="B14" s="24">
        <v>0.54166666666666663</v>
      </c>
      <c r="C14" s="23" t="str">
        <f t="shared" si="0"/>
        <v>5:00 PM</v>
      </c>
      <c r="D14" s="11" t="s">
        <v>169</v>
      </c>
      <c r="E14" s="7" t="s">
        <v>60</v>
      </c>
      <c r="F14" s="7" t="s">
        <v>61</v>
      </c>
      <c r="G14" s="7" t="s">
        <v>324</v>
      </c>
      <c r="H14" s="8">
        <v>26</v>
      </c>
    </row>
    <row r="15" spans="1:11" s="2" customFormat="1" ht="10.5">
      <c r="A15" s="5">
        <v>46041</v>
      </c>
      <c r="B15" s="24">
        <v>0.54166666666666663</v>
      </c>
      <c r="C15" s="23" t="str">
        <f t="shared" si="0"/>
        <v>5:00 PM</v>
      </c>
      <c r="D15" s="11" t="s">
        <v>170</v>
      </c>
      <c r="E15" s="7" t="s">
        <v>60</v>
      </c>
      <c r="F15" s="7" t="s">
        <v>61</v>
      </c>
      <c r="G15" s="7" t="s">
        <v>152</v>
      </c>
      <c r="H15" s="8">
        <v>23</v>
      </c>
    </row>
    <row r="16" spans="1:11" s="2" customFormat="1" ht="10.5">
      <c r="A16" s="5">
        <v>46041</v>
      </c>
      <c r="B16" s="24">
        <v>0.54166666666666663</v>
      </c>
      <c r="C16" s="23" t="str">
        <f t="shared" si="0"/>
        <v>5:00 PM</v>
      </c>
      <c r="D16" s="11" t="s">
        <v>171</v>
      </c>
      <c r="E16" s="7" t="s">
        <v>133</v>
      </c>
      <c r="F16" s="7" t="s">
        <v>160</v>
      </c>
      <c r="G16" s="7" t="s">
        <v>162</v>
      </c>
      <c r="H16" s="8">
        <v>12</v>
      </c>
    </row>
    <row r="17" spans="1:8" s="2" customFormat="1" ht="10.5">
      <c r="A17" s="5">
        <v>46041</v>
      </c>
      <c r="B17" s="24">
        <v>0.54166666666666663</v>
      </c>
      <c r="C17" s="23" t="str">
        <f t="shared" si="0"/>
        <v>5:00 PM</v>
      </c>
      <c r="D17" s="11" t="s">
        <v>172</v>
      </c>
      <c r="E17" s="7" t="s">
        <v>149</v>
      </c>
      <c r="F17" s="7" t="s">
        <v>5</v>
      </c>
      <c r="G17" s="7" t="s">
        <v>150</v>
      </c>
      <c r="H17" s="8">
        <v>53</v>
      </c>
    </row>
    <row r="18" spans="1:8" s="2" customFormat="1" ht="10.5">
      <c r="A18" s="5">
        <v>46041</v>
      </c>
      <c r="B18" s="24">
        <v>0.54166666666666663</v>
      </c>
      <c r="C18" s="23" t="str">
        <f t="shared" si="0"/>
        <v>5:00 PM</v>
      </c>
      <c r="D18" s="11" t="s">
        <v>173</v>
      </c>
      <c r="E18" s="7" t="s">
        <v>18</v>
      </c>
      <c r="F18" s="7" t="s">
        <v>5</v>
      </c>
      <c r="G18" s="7" t="s">
        <v>19</v>
      </c>
      <c r="H18" s="8">
        <v>16</v>
      </c>
    </row>
    <row r="19" spans="1:8" s="2" customFormat="1" ht="10.5">
      <c r="A19" s="5">
        <v>46041</v>
      </c>
      <c r="B19" s="24">
        <v>0.58333333333333337</v>
      </c>
      <c r="C19" s="23" t="str">
        <f t="shared" si="0"/>
        <v>5:00 PM</v>
      </c>
      <c r="D19" s="11" t="s">
        <v>174</v>
      </c>
      <c r="E19" s="7" t="s">
        <v>27</v>
      </c>
      <c r="F19" s="7" t="s">
        <v>23</v>
      </c>
      <c r="G19" s="7" t="s">
        <v>28</v>
      </c>
      <c r="H19" s="8">
        <v>24</v>
      </c>
    </row>
    <row r="20" spans="1:8" s="2" customFormat="1" ht="10.5">
      <c r="A20" s="5">
        <v>46041</v>
      </c>
      <c r="B20" s="24">
        <v>0.625</v>
      </c>
      <c r="C20" s="23" t="str">
        <f t="shared" si="0"/>
        <v>5:00 PM</v>
      </c>
      <c r="D20" s="11" t="s">
        <v>175</v>
      </c>
      <c r="E20" s="7" t="s">
        <v>133</v>
      </c>
      <c r="F20" s="7" t="s">
        <v>160</v>
      </c>
      <c r="G20" s="7" t="s">
        <v>161</v>
      </c>
      <c r="H20" s="8">
        <v>24</v>
      </c>
    </row>
    <row r="21" spans="1:8" s="2" customFormat="1" ht="10.5">
      <c r="A21" s="5">
        <v>46042</v>
      </c>
      <c r="B21" s="23">
        <v>0.33333333333333331</v>
      </c>
      <c r="C21" s="23" t="str">
        <f t="shared" si="0"/>
        <v>12:00 PM</v>
      </c>
      <c r="D21" s="10" t="s">
        <v>176</v>
      </c>
      <c r="E21" s="2" t="s">
        <v>149</v>
      </c>
      <c r="F21" s="2" t="s">
        <v>5</v>
      </c>
      <c r="G21" s="2" t="s">
        <v>177</v>
      </c>
      <c r="H21" s="6">
        <v>81</v>
      </c>
    </row>
    <row r="22" spans="1:8" s="2" customFormat="1" ht="10.5">
      <c r="A22" s="5">
        <v>46042</v>
      </c>
      <c r="B22" s="23">
        <v>0.33333333333333331</v>
      </c>
      <c r="C22" s="23" t="str">
        <f t="shared" si="0"/>
        <v>12:00 PM</v>
      </c>
      <c r="D22" s="10" t="s">
        <v>178</v>
      </c>
      <c r="E22" s="2" t="s">
        <v>9</v>
      </c>
      <c r="F22" s="2" t="s">
        <v>10</v>
      </c>
      <c r="G22" s="2" t="s">
        <v>179</v>
      </c>
      <c r="H22" s="6">
        <v>23</v>
      </c>
    </row>
    <row r="23" spans="1:8" s="2" customFormat="1" ht="10.5">
      <c r="A23" s="5">
        <v>46042</v>
      </c>
      <c r="B23" s="23">
        <v>0.33333333333333331</v>
      </c>
      <c r="C23" s="23" t="str">
        <f t="shared" si="0"/>
        <v>12:00 PM</v>
      </c>
      <c r="D23" s="10" t="s">
        <v>180</v>
      </c>
      <c r="E23" s="2" t="s">
        <v>60</v>
      </c>
      <c r="F23" s="2" t="s">
        <v>61</v>
      </c>
      <c r="G23" s="2" t="s">
        <v>147</v>
      </c>
      <c r="H23" s="6">
        <v>40</v>
      </c>
    </row>
    <row r="24" spans="1:8" s="2" customFormat="1" ht="10.5">
      <c r="A24" s="5">
        <v>46042</v>
      </c>
      <c r="B24" s="23">
        <v>0.33333333333333331</v>
      </c>
      <c r="C24" s="23" t="str">
        <f t="shared" si="0"/>
        <v>12:00 PM</v>
      </c>
      <c r="D24" s="10" t="s">
        <v>181</v>
      </c>
      <c r="E24" s="2" t="s">
        <v>22</v>
      </c>
      <c r="F24" s="2" t="s">
        <v>23</v>
      </c>
      <c r="G24" s="2" t="s">
        <v>92</v>
      </c>
      <c r="H24" s="6">
        <v>25</v>
      </c>
    </row>
    <row r="25" spans="1:8" s="2" customFormat="1" ht="10.5">
      <c r="A25" s="5">
        <v>46042</v>
      </c>
      <c r="B25" s="23">
        <v>0.33333333333333331</v>
      </c>
      <c r="C25" s="23" t="str">
        <f t="shared" si="0"/>
        <v>12:00 PM</v>
      </c>
      <c r="D25" s="10" t="s">
        <v>182</v>
      </c>
      <c r="E25" s="2" t="s">
        <v>88</v>
      </c>
      <c r="F25" s="2" t="s">
        <v>5</v>
      </c>
      <c r="G25" s="2" t="s">
        <v>89</v>
      </c>
      <c r="H25" s="6">
        <v>44</v>
      </c>
    </row>
    <row r="26" spans="1:8" s="2" customFormat="1" ht="10.5">
      <c r="A26" s="5">
        <v>46042</v>
      </c>
      <c r="B26" s="23">
        <v>0.33333333333333331</v>
      </c>
      <c r="C26" s="23" t="str">
        <f t="shared" si="0"/>
        <v>12:00 PM</v>
      </c>
      <c r="D26" s="10" t="s">
        <v>183</v>
      </c>
      <c r="E26" s="2" t="s">
        <v>60</v>
      </c>
      <c r="F26" s="2" t="s">
        <v>61</v>
      </c>
      <c r="G26" s="2" t="s">
        <v>152</v>
      </c>
      <c r="H26" s="6">
        <v>29</v>
      </c>
    </row>
    <row r="27" spans="1:8" s="2" customFormat="1" ht="10.5">
      <c r="A27" s="5">
        <v>46042</v>
      </c>
      <c r="B27" s="23">
        <v>0.33333333333333331</v>
      </c>
      <c r="C27" s="23" t="str">
        <f t="shared" si="0"/>
        <v>12:00 PM</v>
      </c>
      <c r="D27" s="10" t="s">
        <v>184</v>
      </c>
      <c r="E27" s="2" t="s">
        <v>88</v>
      </c>
      <c r="F27" s="2" t="s">
        <v>5</v>
      </c>
      <c r="G27" s="2" t="s">
        <v>185</v>
      </c>
      <c r="H27" s="6">
        <v>35</v>
      </c>
    </row>
    <row r="28" spans="1:8" s="2" customFormat="1" ht="10.5">
      <c r="A28" s="5">
        <v>46042</v>
      </c>
      <c r="B28" s="23">
        <v>0.33333333333333331</v>
      </c>
      <c r="C28" s="23" t="str">
        <f t="shared" si="0"/>
        <v>12:00 PM</v>
      </c>
      <c r="D28" s="10" t="s">
        <v>186</v>
      </c>
      <c r="E28" s="2" t="s">
        <v>18</v>
      </c>
      <c r="F28" s="2" t="s">
        <v>5</v>
      </c>
      <c r="G28" s="2" t="s">
        <v>19</v>
      </c>
      <c r="H28" s="6">
        <v>27</v>
      </c>
    </row>
    <row r="29" spans="1:8" s="2" customFormat="1" ht="10.5">
      <c r="A29" s="5">
        <v>46042</v>
      </c>
      <c r="B29" s="23">
        <v>0.33333333333333331</v>
      </c>
      <c r="C29" s="23" t="str">
        <f t="shared" si="0"/>
        <v>12:00 PM</v>
      </c>
      <c r="D29" s="10" t="s">
        <v>187</v>
      </c>
      <c r="E29" s="2" t="s">
        <v>9</v>
      </c>
      <c r="F29" s="2" t="s">
        <v>10</v>
      </c>
      <c r="G29" s="2" t="s">
        <v>104</v>
      </c>
      <c r="H29" s="6">
        <v>74</v>
      </c>
    </row>
    <row r="30" spans="1:8" s="2" customFormat="1" ht="10.5">
      <c r="A30" s="5">
        <v>46042</v>
      </c>
      <c r="B30" s="23">
        <v>0.33333333333333331</v>
      </c>
      <c r="C30" s="23" t="str">
        <f t="shared" si="0"/>
        <v>12:00 PM</v>
      </c>
      <c r="D30" s="10" t="s">
        <v>188</v>
      </c>
      <c r="E30" s="2" t="s">
        <v>60</v>
      </c>
      <c r="F30" s="2" t="s">
        <v>61</v>
      </c>
      <c r="G30" s="2" t="s">
        <v>62</v>
      </c>
      <c r="H30" s="6">
        <v>59</v>
      </c>
    </row>
    <row r="31" spans="1:8" s="2" customFormat="1" ht="10.5">
      <c r="A31" s="5">
        <v>46042</v>
      </c>
      <c r="B31" s="23">
        <v>0.33333333333333331</v>
      </c>
      <c r="C31" s="23" t="str">
        <f t="shared" si="0"/>
        <v>12:00 PM</v>
      </c>
      <c r="D31" s="10" t="s">
        <v>189</v>
      </c>
      <c r="E31" s="2" t="s">
        <v>22</v>
      </c>
      <c r="F31" s="2" t="s">
        <v>23</v>
      </c>
      <c r="G31" s="2" t="s">
        <v>145</v>
      </c>
      <c r="H31" s="6">
        <v>52</v>
      </c>
    </row>
    <row r="32" spans="1:8" s="2" customFormat="1" ht="10.5">
      <c r="A32" s="5">
        <v>46042</v>
      </c>
      <c r="B32" s="23">
        <v>0.33333333333333331</v>
      </c>
      <c r="C32" s="23" t="str">
        <f t="shared" si="0"/>
        <v>12:00 PM</v>
      </c>
      <c r="D32" s="10" t="s">
        <v>190</v>
      </c>
      <c r="E32" s="2" t="s">
        <v>18</v>
      </c>
      <c r="F32" s="2" t="s">
        <v>5</v>
      </c>
      <c r="G32" s="2" t="s">
        <v>19</v>
      </c>
      <c r="H32" s="6">
        <v>56</v>
      </c>
    </row>
    <row r="33" spans="1:8" s="2" customFormat="1" ht="10.5">
      <c r="A33" s="5">
        <v>46042</v>
      </c>
      <c r="B33" s="23">
        <v>0.33333333333333331</v>
      </c>
      <c r="C33" s="23" t="str">
        <f t="shared" si="0"/>
        <v>12:00 PM</v>
      </c>
      <c r="D33" s="10" t="s">
        <v>68</v>
      </c>
      <c r="E33" s="2" t="s">
        <v>14</v>
      </c>
      <c r="F33" s="2" t="s">
        <v>5</v>
      </c>
      <c r="G33" s="2" t="s">
        <v>69</v>
      </c>
      <c r="H33" s="6">
        <v>49</v>
      </c>
    </row>
    <row r="34" spans="1:8" s="2" customFormat="1" ht="10.5">
      <c r="A34" s="5">
        <v>46042</v>
      </c>
      <c r="B34" s="23">
        <v>0.33333333333333331</v>
      </c>
      <c r="C34" s="23" t="str">
        <f t="shared" si="0"/>
        <v>12:00 PM</v>
      </c>
      <c r="D34" s="10" t="s">
        <v>191</v>
      </c>
      <c r="E34" s="2" t="s">
        <v>9</v>
      </c>
      <c r="F34" s="2" t="s">
        <v>10</v>
      </c>
      <c r="G34" s="2" t="s">
        <v>11</v>
      </c>
      <c r="H34" s="6">
        <v>19</v>
      </c>
    </row>
    <row r="35" spans="1:8" s="2" customFormat="1" ht="10.5">
      <c r="A35" s="5">
        <v>46042</v>
      </c>
      <c r="B35" s="23">
        <v>0.35416666666666669</v>
      </c>
      <c r="C35" s="23" t="str">
        <f t="shared" si="0"/>
        <v>12:00 PM</v>
      </c>
      <c r="D35" s="10" t="s">
        <v>192</v>
      </c>
      <c r="E35" s="2" t="s">
        <v>27</v>
      </c>
      <c r="F35" s="2" t="s">
        <v>23</v>
      </c>
      <c r="G35" s="2" t="s">
        <v>193</v>
      </c>
      <c r="H35" s="6">
        <v>84</v>
      </c>
    </row>
    <row r="36" spans="1:8" s="2" customFormat="1" ht="10.5">
      <c r="A36" s="5">
        <v>46042</v>
      </c>
      <c r="B36" s="23">
        <v>0.35416666666666669</v>
      </c>
      <c r="C36" s="23" t="str">
        <f t="shared" si="0"/>
        <v>12:00 PM</v>
      </c>
      <c r="D36" s="10" t="s">
        <v>194</v>
      </c>
      <c r="E36" s="2" t="s">
        <v>27</v>
      </c>
      <c r="F36" s="2" t="s">
        <v>23</v>
      </c>
      <c r="G36" s="2" t="s">
        <v>28</v>
      </c>
      <c r="H36" s="6">
        <v>68</v>
      </c>
    </row>
    <row r="37" spans="1:8" s="2" customFormat="1" ht="10.5">
      <c r="A37" s="5">
        <v>46042</v>
      </c>
      <c r="B37" s="23">
        <v>0.375</v>
      </c>
      <c r="C37" s="23" t="str">
        <f t="shared" si="0"/>
        <v>12:00 PM</v>
      </c>
      <c r="D37" s="10" t="s">
        <v>195</v>
      </c>
      <c r="E37" s="2" t="s">
        <v>133</v>
      </c>
      <c r="F37" s="2" t="s">
        <v>160</v>
      </c>
      <c r="G37" s="2" t="s">
        <v>161</v>
      </c>
      <c r="H37" s="6">
        <v>27</v>
      </c>
    </row>
    <row r="38" spans="1:8" s="2" customFormat="1" ht="10.5">
      <c r="A38" s="5">
        <v>46042</v>
      </c>
      <c r="B38" s="23">
        <v>0.375</v>
      </c>
      <c r="C38" s="23" t="str">
        <f t="shared" si="0"/>
        <v>12:00 PM</v>
      </c>
      <c r="D38" s="10" t="s">
        <v>196</v>
      </c>
      <c r="E38" s="2" t="s">
        <v>14</v>
      </c>
      <c r="F38" s="2" t="s">
        <v>5</v>
      </c>
      <c r="G38" s="2" t="s">
        <v>197</v>
      </c>
      <c r="H38" s="6">
        <v>17</v>
      </c>
    </row>
    <row r="39" spans="1:8" s="2" customFormat="1" ht="10.5">
      <c r="A39" s="5">
        <v>46042</v>
      </c>
      <c r="B39" s="23">
        <v>0.375</v>
      </c>
      <c r="C39" s="23" t="str">
        <f t="shared" si="0"/>
        <v>12:00 PM</v>
      </c>
      <c r="D39" s="10" t="s">
        <v>198</v>
      </c>
      <c r="E39" s="2" t="s">
        <v>14</v>
      </c>
      <c r="F39" s="2" t="s">
        <v>5</v>
      </c>
      <c r="G39" s="2" t="s">
        <v>15</v>
      </c>
      <c r="H39" s="6">
        <v>55</v>
      </c>
    </row>
    <row r="40" spans="1:8" s="2" customFormat="1" ht="10.5">
      <c r="A40" s="5">
        <v>46042</v>
      </c>
      <c r="B40" s="24">
        <v>0.54166666666666663</v>
      </c>
      <c r="C40" s="23" t="str">
        <f t="shared" si="0"/>
        <v>5:00 PM</v>
      </c>
      <c r="D40" s="11" t="s">
        <v>199</v>
      </c>
      <c r="E40" s="7" t="s">
        <v>18</v>
      </c>
      <c r="F40" s="7" t="s">
        <v>5</v>
      </c>
      <c r="G40" s="7" t="s">
        <v>19</v>
      </c>
      <c r="H40" s="8">
        <v>26</v>
      </c>
    </row>
    <row r="41" spans="1:8" s="2" customFormat="1" ht="10.5">
      <c r="A41" s="5">
        <v>46042</v>
      </c>
      <c r="B41" s="24">
        <v>0.54166666666666663</v>
      </c>
      <c r="C41" s="23" t="str">
        <f t="shared" si="0"/>
        <v>5:00 PM</v>
      </c>
      <c r="D41" s="11" t="s">
        <v>200</v>
      </c>
      <c r="E41" s="7" t="s">
        <v>133</v>
      </c>
      <c r="F41" s="7" t="s">
        <v>160</v>
      </c>
      <c r="G41" s="7" t="s">
        <v>201</v>
      </c>
      <c r="H41" s="8">
        <v>6</v>
      </c>
    </row>
    <row r="42" spans="1:8" s="2" customFormat="1" ht="10.5">
      <c r="A42" s="5">
        <v>46042</v>
      </c>
      <c r="B42" s="24">
        <v>0.54166666666666663</v>
      </c>
      <c r="C42" s="23" t="str">
        <f t="shared" si="0"/>
        <v>5:00 PM</v>
      </c>
      <c r="D42" s="11" t="s">
        <v>202</v>
      </c>
      <c r="E42" s="7" t="s">
        <v>9</v>
      </c>
      <c r="F42" s="7" t="s">
        <v>10</v>
      </c>
      <c r="G42" s="7" t="s">
        <v>104</v>
      </c>
      <c r="H42" s="8">
        <v>33</v>
      </c>
    </row>
    <row r="43" spans="1:8" s="2" customFormat="1" ht="10.5">
      <c r="A43" s="5">
        <v>46042</v>
      </c>
      <c r="B43" s="24">
        <v>0.54166666666666663</v>
      </c>
      <c r="C43" s="23" t="str">
        <f t="shared" si="0"/>
        <v>5:00 PM</v>
      </c>
      <c r="D43" s="11" t="s">
        <v>203</v>
      </c>
      <c r="E43" s="7" t="s">
        <v>60</v>
      </c>
      <c r="F43" s="7" t="s">
        <v>61</v>
      </c>
      <c r="G43" s="7" t="s">
        <v>322</v>
      </c>
      <c r="H43" s="8">
        <v>38</v>
      </c>
    </row>
    <row r="44" spans="1:8" s="2" customFormat="1" ht="10.5">
      <c r="A44" s="5">
        <v>46042</v>
      </c>
      <c r="B44" s="24">
        <v>0.54166666666666663</v>
      </c>
      <c r="C44" s="23" t="str">
        <f t="shared" si="0"/>
        <v>5:00 PM</v>
      </c>
      <c r="D44" s="11" t="s">
        <v>204</v>
      </c>
      <c r="E44" s="7" t="s">
        <v>14</v>
      </c>
      <c r="F44" s="7" t="s">
        <v>5</v>
      </c>
      <c r="G44" s="7" t="s">
        <v>205</v>
      </c>
      <c r="H44" s="8">
        <v>67</v>
      </c>
    </row>
    <row r="45" spans="1:8" s="2" customFormat="1" ht="10.5">
      <c r="A45" s="5">
        <v>46042</v>
      </c>
      <c r="B45" s="24">
        <v>0.54166666666666663</v>
      </c>
      <c r="C45" s="23" t="str">
        <f t="shared" si="0"/>
        <v>5:00 PM</v>
      </c>
      <c r="D45" s="11" t="s">
        <v>206</v>
      </c>
      <c r="E45" s="7" t="s">
        <v>18</v>
      </c>
      <c r="F45" s="7" t="s">
        <v>5</v>
      </c>
      <c r="G45" s="7" t="s">
        <v>19</v>
      </c>
      <c r="H45" s="8">
        <v>53</v>
      </c>
    </row>
    <row r="46" spans="1:8" s="2" customFormat="1" ht="10.5">
      <c r="A46" s="5">
        <v>46042</v>
      </c>
      <c r="B46" s="24">
        <v>0.54166666666666663</v>
      </c>
      <c r="C46" s="23" t="str">
        <f t="shared" si="0"/>
        <v>5:00 PM</v>
      </c>
      <c r="D46" s="11" t="s">
        <v>207</v>
      </c>
      <c r="E46" s="7" t="s">
        <v>22</v>
      </c>
      <c r="F46" s="7" t="s">
        <v>23</v>
      </c>
      <c r="G46" s="7" t="s">
        <v>145</v>
      </c>
      <c r="H46" s="8">
        <v>42</v>
      </c>
    </row>
    <row r="47" spans="1:8" s="2" customFormat="1" ht="10.5">
      <c r="A47" s="5">
        <v>46042</v>
      </c>
      <c r="B47" s="24">
        <v>0.54166666666666663</v>
      </c>
      <c r="C47" s="23" t="str">
        <f t="shared" si="0"/>
        <v>5:00 PM</v>
      </c>
      <c r="D47" s="11" t="s">
        <v>208</v>
      </c>
      <c r="E47" s="7" t="s">
        <v>88</v>
      </c>
      <c r="F47" s="7" t="s">
        <v>5</v>
      </c>
      <c r="G47" s="7" t="s">
        <v>89</v>
      </c>
      <c r="H47" s="8">
        <v>23</v>
      </c>
    </row>
    <row r="48" spans="1:8" s="2" customFormat="1" ht="10.5">
      <c r="A48" s="5">
        <v>46042</v>
      </c>
      <c r="B48" s="24">
        <v>0.54166666666666663</v>
      </c>
      <c r="C48" s="23" t="str">
        <f t="shared" si="0"/>
        <v>5:00 PM</v>
      </c>
      <c r="D48" s="11" t="s">
        <v>209</v>
      </c>
      <c r="E48" s="7" t="s">
        <v>88</v>
      </c>
      <c r="F48" s="7" t="s">
        <v>5</v>
      </c>
      <c r="G48" s="7" t="s">
        <v>185</v>
      </c>
      <c r="H48" s="8">
        <v>62</v>
      </c>
    </row>
    <row r="49" spans="1:8" s="2" customFormat="1" ht="10.5">
      <c r="A49" s="5">
        <v>46042</v>
      </c>
      <c r="B49" s="24">
        <v>0.54166666666666663</v>
      </c>
      <c r="C49" s="23" t="str">
        <f t="shared" si="0"/>
        <v>5:00 PM</v>
      </c>
      <c r="D49" s="11" t="s">
        <v>210</v>
      </c>
      <c r="E49" s="7" t="s">
        <v>9</v>
      </c>
      <c r="F49" s="7" t="s">
        <v>10</v>
      </c>
      <c r="G49" s="7" t="s">
        <v>11</v>
      </c>
      <c r="H49" s="8">
        <v>10</v>
      </c>
    </row>
    <row r="50" spans="1:8" s="2" customFormat="1" ht="10.5">
      <c r="A50" s="5">
        <v>46042</v>
      </c>
      <c r="B50" s="24">
        <v>0.54166666666666663</v>
      </c>
      <c r="C50" s="23" t="str">
        <f t="shared" si="0"/>
        <v>5:00 PM</v>
      </c>
      <c r="D50" s="11" t="s">
        <v>211</v>
      </c>
      <c r="E50" s="7" t="s">
        <v>149</v>
      </c>
      <c r="F50" s="7" t="s">
        <v>212</v>
      </c>
      <c r="G50" s="7" t="s">
        <v>213</v>
      </c>
      <c r="H50" s="8">
        <v>17</v>
      </c>
    </row>
    <row r="51" spans="1:8" s="2" customFormat="1" ht="10.5">
      <c r="A51" s="5">
        <v>46042</v>
      </c>
      <c r="B51" s="24">
        <v>0.54166666666666663</v>
      </c>
      <c r="C51" s="23" t="str">
        <f t="shared" si="0"/>
        <v>5:00 PM</v>
      </c>
      <c r="D51" s="11" t="s">
        <v>214</v>
      </c>
      <c r="E51" s="7" t="s">
        <v>60</v>
      </c>
      <c r="F51" s="7" t="s">
        <v>61</v>
      </c>
      <c r="G51" s="7" t="s">
        <v>152</v>
      </c>
      <c r="H51" s="8">
        <v>27</v>
      </c>
    </row>
    <row r="52" spans="1:8" s="2" customFormat="1" ht="10.5">
      <c r="A52" s="5">
        <v>46042</v>
      </c>
      <c r="B52" s="24">
        <v>0.54166666666666663</v>
      </c>
      <c r="C52" s="23" t="str">
        <f t="shared" si="0"/>
        <v>5:00 PM</v>
      </c>
      <c r="D52" s="11" t="s">
        <v>215</v>
      </c>
      <c r="E52" s="7" t="s">
        <v>22</v>
      </c>
      <c r="F52" s="7" t="s">
        <v>23</v>
      </c>
      <c r="G52" s="7" t="s">
        <v>325</v>
      </c>
      <c r="H52" s="8">
        <v>17</v>
      </c>
    </row>
    <row r="53" spans="1:8" s="2" customFormat="1" ht="10.5">
      <c r="A53" s="5">
        <v>46042</v>
      </c>
      <c r="B53" s="24">
        <v>0.54166666666666663</v>
      </c>
      <c r="C53" s="23" t="str">
        <f t="shared" si="0"/>
        <v>5:00 PM</v>
      </c>
      <c r="D53" s="11" t="s">
        <v>216</v>
      </c>
      <c r="E53" s="7" t="s">
        <v>9</v>
      </c>
      <c r="F53" s="7" t="s">
        <v>10</v>
      </c>
      <c r="G53" s="7" t="s">
        <v>179</v>
      </c>
      <c r="H53" s="8">
        <v>47</v>
      </c>
    </row>
    <row r="54" spans="1:8" s="2" customFormat="1" ht="10.5">
      <c r="A54" s="5">
        <v>46042</v>
      </c>
      <c r="B54" s="24">
        <v>0.58333333333333337</v>
      </c>
      <c r="C54" s="23" t="str">
        <f t="shared" si="0"/>
        <v>5:00 PM</v>
      </c>
      <c r="D54" s="11" t="s">
        <v>217</v>
      </c>
      <c r="E54" s="7" t="s">
        <v>27</v>
      </c>
      <c r="F54" s="7" t="s">
        <v>23</v>
      </c>
      <c r="G54" s="7" t="s">
        <v>28</v>
      </c>
      <c r="H54" s="8">
        <v>44</v>
      </c>
    </row>
    <row r="55" spans="1:8" s="2" customFormat="1" ht="10.5">
      <c r="A55" s="5">
        <v>46042</v>
      </c>
      <c r="B55" s="24">
        <v>0.58333333333333337</v>
      </c>
      <c r="C55" s="23" t="str">
        <f t="shared" si="0"/>
        <v>5:00 PM</v>
      </c>
      <c r="D55" s="11" t="s">
        <v>218</v>
      </c>
      <c r="E55" s="7" t="s">
        <v>27</v>
      </c>
      <c r="F55" s="7" t="s">
        <v>23</v>
      </c>
      <c r="G55" s="7" t="s">
        <v>28</v>
      </c>
      <c r="H55" s="8">
        <v>52</v>
      </c>
    </row>
    <row r="56" spans="1:8" s="2" customFormat="1" ht="10.5">
      <c r="A56" s="5">
        <v>46043</v>
      </c>
      <c r="B56" s="23">
        <v>0.33333333333333331</v>
      </c>
      <c r="C56" s="23" t="str">
        <f t="shared" si="0"/>
        <v>12:00 PM</v>
      </c>
      <c r="D56" s="10" t="s">
        <v>219</v>
      </c>
      <c r="E56" s="2" t="s">
        <v>9</v>
      </c>
      <c r="F56" s="2" t="s">
        <v>10</v>
      </c>
      <c r="G56" s="2" t="s">
        <v>179</v>
      </c>
      <c r="H56" s="6">
        <v>24</v>
      </c>
    </row>
    <row r="57" spans="1:8" s="2" customFormat="1" ht="10.5">
      <c r="A57" s="5">
        <v>46043</v>
      </c>
      <c r="B57" s="23">
        <v>0.33333333333333331</v>
      </c>
      <c r="C57" s="23" t="str">
        <f t="shared" si="0"/>
        <v>12:00 PM</v>
      </c>
      <c r="D57" s="10" t="s">
        <v>220</v>
      </c>
      <c r="E57" s="2" t="s">
        <v>149</v>
      </c>
      <c r="F57" s="2" t="s">
        <v>212</v>
      </c>
      <c r="G57" s="2" t="s">
        <v>221</v>
      </c>
      <c r="H57" s="6">
        <v>41</v>
      </c>
    </row>
    <row r="58" spans="1:8" s="2" customFormat="1" ht="10.5">
      <c r="A58" s="5">
        <v>46043</v>
      </c>
      <c r="B58" s="23">
        <v>0.33333333333333331</v>
      </c>
      <c r="C58" s="23" t="str">
        <f t="shared" si="0"/>
        <v>12:00 PM</v>
      </c>
      <c r="D58" s="10" t="s">
        <v>222</v>
      </c>
      <c r="E58" s="2" t="s">
        <v>22</v>
      </c>
      <c r="F58" s="2" t="s">
        <v>23</v>
      </c>
      <c r="G58" s="2" t="s">
        <v>145</v>
      </c>
      <c r="H58" s="6">
        <v>51</v>
      </c>
    </row>
    <row r="59" spans="1:8" s="2" customFormat="1" ht="10.5">
      <c r="A59" s="5">
        <v>46043</v>
      </c>
      <c r="B59" s="23">
        <v>0.33333333333333331</v>
      </c>
      <c r="C59" s="23" t="str">
        <f t="shared" si="0"/>
        <v>12:00 PM</v>
      </c>
      <c r="D59" s="10" t="s">
        <v>223</v>
      </c>
      <c r="E59" s="2" t="s">
        <v>9</v>
      </c>
      <c r="F59" s="2" t="s">
        <v>10</v>
      </c>
      <c r="G59" s="2" t="s">
        <v>104</v>
      </c>
      <c r="H59" s="6">
        <v>24</v>
      </c>
    </row>
    <row r="60" spans="1:8" s="2" customFormat="1" ht="10.5">
      <c r="A60" s="5">
        <v>46043</v>
      </c>
      <c r="B60" s="23">
        <v>0.33333333333333331</v>
      </c>
      <c r="C60" s="23" t="str">
        <f t="shared" si="0"/>
        <v>12:00 PM</v>
      </c>
      <c r="D60" s="10" t="s">
        <v>224</v>
      </c>
      <c r="E60" s="2" t="s">
        <v>9</v>
      </c>
      <c r="F60" s="2" t="s">
        <v>10</v>
      </c>
      <c r="G60" s="2" t="s">
        <v>225</v>
      </c>
      <c r="H60" s="6">
        <v>14</v>
      </c>
    </row>
    <row r="61" spans="1:8" s="2" customFormat="1" ht="10.5">
      <c r="A61" s="5">
        <v>46043</v>
      </c>
      <c r="B61" s="23">
        <v>0.33333333333333331</v>
      </c>
      <c r="C61" s="23" t="str">
        <f t="shared" si="0"/>
        <v>12:00 PM</v>
      </c>
      <c r="D61" s="10" t="s">
        <v>226</v>
      </c>
      <c r="E61" s="2" t="s">
        <v>88</v>
      </c>
      <c r="F61" s="2" t="s">
        <v>5</v>
      </c>
      <c r="G61" s="2" t="s">
        <v>89</v>
      </c>
      <c r="H61" s="6">
        <v>85</v>
      </c>
    </row>
    <row r="62" spans="1:8" s="2" customFormat="1" ht="10.5">
      <c r="A62" s="5">
        <v>46043</v>
      </c>
      <c r="B62" s="23">
        <v>0.33333333333333331</v>
      </c>
      <c r="C62" s="23" t="str">
        <f t="shared" si="0"/>
        <v>12:00 PM</v>
      </c>
      <c r="D62" s="10" t="s">
        <v>227</v>
      </c>
      <c r="E62" s="2" t="s">
        <v>60</v>
      </c>
      <c r="F62" s="2" t="s">
        <v>61</v>
      </c>
      <c r="G62" s="2" t="s">
        <v>62</v>
      </c>
      <c r="H62" s="6">
        <v>31</v>
      </c>
    </row>
    <row r="63" spans="1:8" s="2" customFormat="1" ht="10.5">
      <c r="A63" s="5">
        <v>46043</v>
      </c>
      <c r="B63" s="23">
        <v>0.33333333333333331</v>
      </c>
      <c r="C63" s="23" t="str">
        <f t="shared" si="0"/>
        <v>12:00 PM</v>
      </c>
      <c r="D63" s="10" t="s">
        <v>228</v>
      </c>
      <c r="E63" s="2" t="s">
        <v>60</v>
      </c>
      <c r="F63" s="2" t="s">
        <v>61</v>
      </c>
      <c r="G63" s="2" t="s">
        <v>96</v>
      </c>
      <c r="H63" s="6">
        <v>43</v>
      </c>
    </row>
    <row r="64" spans="1:8" s="2" customFormat="1" ht="10.5">
      <c r="A64" s="5">
        <v>46043</v>
      </c>
      <c r="B64" s="23">
        <v>0.33333333333333331</v>
      </c>
      <c r="C64" s="23" t="str">
        <f t="shared" si="0"/>
        <v>12:00 PM</v>
      </c>
      <c r="D64" s="10" t="s">
        <v>229</v>
      </c>
      <c r="E64" s="2" t="s">
        <v>22</v>
      </c>
      <c r="F64" s="2" t="s">
        <v>23</v>
      </c>
      <c r="G64" s="2" t="s">
        <v>230</v>
      </c>
      <c r="H64" s="6">
        <v>29</v>
      </c>
    </row>
    <row r="65" spans="1:8" s="2" customFormat="1" ht="10.5">
      <c r="A65" s="5">
        <v>46043</v>
      </c>
      <c r="B65" s="23">
        <v>0.33333333333333331</v>
      </c>
      <c r="C65" s="23" t="str">
        <f t="shared" ref="C65:C126" si="1">IF(B65="","",IF(B65&lt;0.5,"12:00 PM","5:00 PM"))</f>
        <v>12:00 PM</v>
      </c>
      <c r="D65" s="10" t="s">
        <v>231</v>
      </c>
      <c r="E65" s="2" t="s">
        <v>18</v>
      </c>
      <c r="F65" s="2" t="s">
        <v>5</v>
      </c>
      <c r="G65" s="2" t="s">
        <v>19</v>
      </c>
      <c r="H65" s="6">
        <v>34</v>
      </c>
    </row>
    <row r="66" spans="1:8" s="2" customFormat="1" ht="10.5">
      <c r="A66" s="5">
        <v>46043</v>
      </c>
      <c r="B66" s="23">
        <v>0.33333333333333331</v>
      </c>
      <c r="C66" s="23" t="str">
        <f t="shared" si="1"/>
        <v>12:00 PM</v>
      </c>
      <c r="D66" s="10" t="s">
        <v>232</v>
      </c>
      <c r="E66" s="2" t="s">
        <v>60</v>
      </c>
      <c r="F66" s="2" t="s">
        <v>61</v>
      </c>
      <c r="G66" s="2" t="s">
        <v>152</v>
      </c>
      <c r="H66" s="6">
        <v>22</v>
      </c>
    </row>
    <row r="67" spans="1:8" s="2" customFormat="1" ht="10.5">
      <c r="A67" s="5">
        <v>46043</v>
      </c>
      <c r="B67" s="23">
        <v>0.33333333333333331</v>
      </c>
      <c r="C67" s="23" t="str">
        <f t="shared" si="1"/>
        <v>12:00 PM</v>
      </c>
      <c r="D67" s="10" t="s">
        <v>233</v>
      </c>
      <c r="E67" s="2" t="s">
        <v>14</v>
      </c>
      <c r="F67" s="2" t="s">
        <v>5</v>
      </c>
      <c r="G67" s="2" t="s">
        <v>69</v>
      </c>
      <c r="H67" s="6">
        <v>29</v>
      </c>
    </row>
    <row r="68" spans="1:8" s="2" customFormat="1" ht="10.5">
      <c r="A68" s="5">
        <v>46043</v>
      </c>
      <c r="B68" s="23">
        <v>0.33333333333333331</v>
      </c>
      <c r="C68" s="23" t="str">
        <f t="shared" si="1"/>
        <v>12:00 PM</v>
      </c>
      <c r="D68" s="10" t="s">
        <v>234</v>
      </c>
      <c r="E68" s="2" t="s">
        <v>9</v>
      </c>
      <c r="F68" s="2" t="s">
        <v>10</v>
      </c>
      <c r="G68" s="2" t="s">
        <v>11</v>
      </c>
      <c r="H68" s="6">
        <v>14</v>
      </c>
    </row>
    <row r="69" spans="1:8" s="2" customFormat="1" ht="10.5">
      <c r="A69" s="5">
        <v>46043</v>
      </c>
      <c r="B69" s="23">
        <v>0.33333333333333331</v>
      </c>
      <c r="C69" s="23" t="str">
        <f t="shared" si="1"/>
        <v>12:00 PM</v>
      </c>
      <c r="D69" s="10" t="s">
        <v>235</v>
      </c>
      <c r="E69" s="2" t="s">
        <v>88</v>
      </c>
      <c r="F69" s="2" t="s">
        <v>5</v>
      </c>
      <c r="G69" s="2" t="s">
        <v>185</v>
      </c>
      <c r="H69" s="6">
        <v>40</v>
      </c>
    </row>
    <row r="70" spans="1:8" s="2" customFormat="1" ht="10.5">
      <c r="A70" s="5">
        <v>46043</v>
      </c>
      <c r="B70" s="23">
        <v>0.35416666666666669</v>
      </c>
      <c r="C70" s="23" t="str">
        <f t="shared" si="1"/>
        <v>12:00 PM</v>
      </c>
      <c r="D70" s="10" t="s">
        <v>236</v>
      </c>
      <c r="E70" s="2" t="s">
        <v>18</v>
      </c>
      <c r="F70" s="2" t="s">
        <v>5</v>
      </c>
      <c r="G70" s="2" t="s">
        <v>237</v>
      </c>
      <c r="H70" s="6">
        <v>34</v>
      </c>
    </row>
    <row r="71" spans="1:8" s="2" customFormat="1" ht="10.5">
      <c r="A71" s="5">
        <v>46043</v>
      </c>
      <c r="B71" s="23">
        <v>0.35416666666666669</v>
      </c>
      <c r="C71" s="23" t="str">
        <f t="shared" si="1"/>
        <v>12:00 PM</v>
      </c>
      <c r="D71" s="10" t="s">
        <v>238</v>
      </c>
      <c r="E71" s="2" t="s">
        <v>27</v>
      </c>
      <c r="F71" s="2" t="s">
        <v>23</v>
      </c>
      <c r="G71" s="2" t="s">
        <v>28</v>
      </c>
      <c r="H71" s="6">
        <v>31</v>
      </c>
    </row>
    <row r="72" spans="1:8" s="2" customFormat="1" ht="10.5">
      <c r="A72" s="5">
        <v>46043</v>
      </c>
      <c r="B72" s="23">
        <v>0.35416666666666669</v>
      </c>
      <c r="C72" s="23" t="str">
        <f t="shared" si="1"/>
        <v>12:00 PM</v>
      </c>
      <c r="D72" s="10" t="s">
        <v>239</v>
      </c>
      <c r="E72" s="2" t="s">
        <v>27</v>
      </c>
      <c r="F72" s="2" t="s">
        <v>23</v>
      </c>
      <c r="G72" s="2" t="s">
        <v>84</v>
      </c>
      <c r="H72" s="6">
        <v>57</v>
      </c>
    </row>
    <row r="73" spans="1:8" s="2" customFormat="1" ht="10.5">
      <c r="A73" s="5">
        <v>46043</v>
      </c>
      <c r="B73" s="23">
        <v>0.375</v>
      </c>
      <c r="C73" s="23" t="str">
        <f t="shared" si="1"/>
        <v>12:00 PM</v>
      </c>
      <c r="D73" s="10" t="s">
        <v>240</v>
      </c>
      <c r="E73" s="2" t="s">
        <v>14</v>
      </c>
      <c r="F73" s="2" t="s">
        <v>5</v>
      </c>
      <c r="G73" s="2" t="s">
        <v>205</v>
      </c>
      <c r="H73" s="6">
        <v>61</v>
      </c>
    </row>
    <row r="74" spans="1:8" s="2" customFormat="1" ht="10.5">
      <c r="A74" s="5">
        <v>46043</v>
      </c>
      <c r="B74" s="23">
        <v>0.375</v>
      </c>
      <c r="C74" s="23" t="str">
        <f t="shared" si="1"/>
        <v>12:00 PM</v>
      </c>
      <c r="D74" s="10" t="s">
        <v>241</v>
      </c>
      <c r="E74" s="2" t="s">
        <v>133</v>
      </c>
      <c r="F74" s="2" t="s">
        <v>134</v>
      </c>
      <c r="G74" s="2" t="s">
        <v>242</v>
      </c>
      <c r="H74" s="6">
        <v>41</v>
      </c>
    </row>
    <row r="75" spans="1:8" s="2" customFormat="1" ht="10.5">
      <c r="A75" s="5">
        <v>46043</v>
      </c>
      <c r="B75" s="23">
        <v>0.375</v>
      </c>
      <c r="C75" s="23" t="str">
        <f t="shared" si="1"/>
        <v>12:00 PM</v>
      </c>
      <c r="D75" s="10" t="s">
        <v>243</v>
      </c>
      <c r="E75" s="2" t="s">
        <v>14</v>
      </c>
      <c r="F75" s="2" t="s">
        <v>5</v>
      </c>
      <c r="G75" s="2" t="s">
        <v>244</v>
      </c>
      <c r="H75" s="6">
        <v>47</v>
      </c>
    </row>
    <row r="76" spans="1:8" s="2" customFormat="1" ht="10.5">
      <c r="A76" s="5">
        <v>46043</v>
      </c>
      <c r="B76" s="23">
        <v>0.375</v>
      </c>
      <c r="C76" s="23" t="str">
        <f t="shared" si="1"/>
        <v>12:00 PM</v>
      </c>
      <c r="D76" s="10" t="s">
        <v>198</v>
      </c>
      <c r="E76" s="2" t="s">
        <v>14</v>
      </c>
      <c r="F76" s="2" t="s">
        <v>5</v>
      </c>
      <c r="G76" s="2" t="s">
        <v>15</v>
      </c>
      <c r="H76" s="6">
        <v>14</v>
      </c>
    </row>
    <row r="77" spans="1:8" s="2" customFormat="1" ht="10.5">
      <c r="A77" s="5">
        <v>46043</v>
      </c>
      <c r="B77" s="23">
        <v>0.375</v>
      </c>
      <c r="C77" s="23" t="str">
        <f t="shared" si="1"/>
        <v>12:00 PM</v>
      </c>
      <c r="D77" s="10" t="s">
        <v>245</v>
      </c>
      <c r="E77" s="2" t="s">
        <v>31</v>
      </c>
      <c r="F77" s="2" t="s">
        <v>23</v>
      </c>
      <c r="G77" s="2" t="s">
        <v>118</v>
      </c>
      <c r="H77" s="6">
        <v>50</v>
      </c>
    </row>
    <row r="78" spans="1:8" s="2" customFormat="1" ht="10.5">
      <c r="A78" s="5">
        <v>46043</v>
      </c>
      <c r="B78" s="24">
        <v>0.54166666666666663</v>
      </c>
      <c r="C78" s="23" t="str">
        <f t="shared" si="1"/>
        <v>5:00 PM</v>
      </c>
      <c r="D78" s="11" t="s">
        <v>246</v>
      </c>
      <c r="E78" s="7" t="s">
        <v>60</v>
      </c>
      <c r="F78" s="7" t="s">
        <v>61</v>
      </c>
      <c r="G78" s="7" t="s">
        <v>62</v>
      </c>
      <c r="H78" s="8">
        <v>15</v>
      </c>
    </row>
    <row r="79" spans="1:8" s="2" customFormat="1" ht="10.5">
      <c r="A79" s="5">
        <v>46043</v>
      </c>
      <c r="B79" s="24">
        <v>0.54166666666666663</v>
      </c>
      <c r="C79" s="23" t="str">
        <f t="shared" si="1"/>
        <v>5:00 PM</v>
      </c>
      <c r="D79" s="11" t="s">
        <v>247</v>
      </c>
      <c r="E79" s="7" t="s">
        <v>133</v>
      </c>
      <c r="F79" s="7" t="s">
        <v>134</v>
      </c>
      <c r="G79" s="7" t="s">
        <v>242</v>
      </c>
      <c r="H79" s="8">
        <v>27</v>
      </c>
    </row>
    <row r="80" spans="1:8" s="2" customFormat="1" ht="10.5">
      <c r="A80" s="5">
        <v>46043</v>
      </c>
      <c r="B80" s="24">
        <v>0.54166666666666663</v>
      </c>
      <c r="C80" s="23" t="str">
        <f t="shared" si="1"/>
        <v>5:00 PM</v>
      </c>
      <c r="D80" s="11" t="s">
        <v>248</v>
      </c>
      <c r="E80" s="7" t="s">
        <v>22</v>
      </c>
      <c r="F80" s="7" t="s">
        <v>23</v>
      </c>
      <c r="G80" s="7" t="s">
        <v>145</v>
      </c>
      <c r="H80" s="8">
        <v>45</v>
      </c>
    </row>
    <row r="81" spans="1:11" s="2" customFormat="1" ht="10.5">
      <c r="A81" s="5">
        <v>46043</v>
      </c>
      <c r="B81" s="24">
        <v>0.54166666666666663</v>
      </c>
      <c r="C81" s="23" t="str">
        <f t="shared" si="1"/>
        <v>5:00 PM</v>
      </c>
      <c r="D81" s="11" t="s">
        <v>249</v>
      </c>
      <c r="E81" s="7" t="s">
        <v>22</v>
      </c>
      <c r="F81" s="7" t="s">
        <v>23</v>
      </c>
      <c r="G81" s="7" t="s">
        <v>230</v>
      </c>
      <c r="H81" s="8">
        <v>34</v>
      </c>
    </row>
    <row r="82" spans="1:11" s="2" customFormat="1" ht="10.5">
      <c r="A82" s="5">
        <v>46043</v>
      </c>
      <c r="B82" s="24">
        <v>0.54166666666666663</v>
      </c>
      <c r="C82" s="23" t="str">
        <f t="shared" si="1"/>
        <v>5:00 PM</v>
      </c>
      <c r="D82" s="11" t="s">
        <v>250</v>
      </c>
      <c r="E82" s="7" t="s">
        <v>149</v>
      </c>
      <c r="F82" s="7" t="s">
        <v>212</v>
      </c>
      <c r="G82" s="7" t="s">
        <v>251</v>
      </c>
      <c r="H82" s="8">
        <v>58</v>
      </c>
    </row>
    <row r="83" spans="1:11" s="2" customFormat="1" ht="10.5">
      <c r="A83" s="5">
        <v>46043</v>
      </c>
      <c r="B83" s="24">
        <v>0.54166666666666663</v>
      </c>
      <c r="C83" s="23" t="str">
        <f t="shared" si="1"/>
        <v>5:00 PM</v>
      </c>
      <c r="D83" s="11" t="s">
        <v>252</v>
      </c>
      <c r="E83" s="7" t="s">
        <v>60</v>
      </c>
      <c r="F83" s="7" t="s">
        <v>61</v>
      </c>
      <c r="G83" s="7" t="s">
        <v>62</v>
      </c>
      <c r="H83" s="8">
        <v>17</v>
      </c>
    </row>
    <row r="84" spans="1:11" s="2" customFormat="1" ht="10.5">
      <c r="A84" s="5">
        <v>46043</v>
      </c>
      <c r="B84" s="24">
        <v>0.54166666666666663</v>
      </c>
      <c r="C84" s="23" t="str">
        <f t="shared" si="1"/>
        <v>5:00 PM</v>
      </c>
      <c r="D84" s="7" t="s">
        <v>81</v>
      </c>
      <c r="E84" s="7" t="s">
        <v>9</v>
      </c>
      <c r="F84" s="7" t="s">
        <v>10</v>
      </c>
      <c r="G84" s="7" t="s">
        <v>11</v>
      </c>
      <c r="H84" s="8">
        <v>45</v>
      </c>
    </row>
    <row r="85" spans="1:11" s="2" customFormat="1" ht="10.5">
      <c r="A85" s="5">
        <v>46043</v>
      </c>
      <c r="B85" s="24">
        <v>0.54166666666666663</v>
      </c>
      <c r="C85" s="23" t="str">
        <f t="shared" si="1"/>
        <v>5:00 PM</v>
      </c>
      <c r="D85" s="11" t="s">
        <v>253</v>
      </c>
      <c r="E85" s="7" t="s">
        <v>9</v>
      </c>
      <c r="F85" s="7" t="s">
        <v>10</v>
      </c>
      <c r="G85" s="7" t="s">
        <v>254</v>
      </c>
      <c r="H85" s="8">
        <v>13</v>
      </c>
    </row>
    <row r="86" spans="1:11" s="2" customFormat="1" ht="10.5">
      <c r="A86" s="5">
        <v>46043</v>
      </c>
      <c r="B86" s="24">
        <v>0.54166666666666663</v>
      </c>
      <c r="C86" s="23" t="str">
        <f t="shared" si="1"/>
        <v>5:00 PM</v>
      </c>
      <c r="D86" s="11" t="s">
        <v>255</v>
      </c>
      <c r="E86" s="7" t="s">
        <v>88</v>
      </c>
      <c r="F86" s="7" t="s">
        <v>5</v>
      </c>
      <c r="G86" s="7" t="s">
        <v>89</v>
      </c>
      <c r="H86" s="8">
        <v>90</v>
      </c>
    </row>
    <row r="87" spans="1:11" s="2" customFormat="1" ht="10.5">
      <c r="A87" s="5">
        <v>46043</v>
      </c>
      <c r="B87" s="24">
        <v>0.54166666666666663</v>
      </c>
      <c r="C87" s="23" t="str">
        <f t="shared" si="1"/>
        <v>5:00 PM</v>
      </c>
      <c r="D87" s="11" t="s">
        <v>256</v>
      </c>
      <c r="E87" s="7" t="s">
        <v>88</v>
      </c>
      <c r="F87" s="7" t="s">
        <v>5</v>
      </c>
      <c r="G87" s="7" t="s">
        <v>185</v>
      </c>
      <c r="H87" s="8">
        <v>69</v>
      </c>
    </row>
    <row r="88" spans="1:11" s="2" customFormat="1" ht="10.5">
      <c r="A88" s="5">
        <v>46043</v>
      </c>
      <c r="B88" s="24">
        <v>0.54166666666666663</v>
      </c>
      <c r="C88" s="23" t="str">
        <f t="shared" si="1"/>
        <v>5:00 PM</v>
      </c>
      <c r="D88" s="11" t="s">
        <v>257</v>
      </c>
      <c r="E88" s="7" t="s">
        <v>14</v>
      </c>
      <c r="F88" s="7" t="s">
        <v>5</v>
      </c>
      <c r="G88" s="7" t="s">
        <v>244</v>
      </c>
      <c r="H88" s="8">
        <v>68</v>
      </c>
      <c r="I88" s="7"/>
      <c r="J88" s="7"/>
      <c r="K88" s="13"/>
    </row>
    <row r="89" spans="1:11" s="2" customFormat="1" ht="10.5">
      <c r="A89" s="5">
        <v>46043</v>
      </c>
      <c r="B89" s="24">
        <v>0.54166666666666663</v>
      </c>
      <c r="C89" s="23" t="str">
        <f t="shared" si="1"/>
        <v>5:00 PM</v>
      </c>
      <c r="D89" s="11" t="s">
        <v>258</v>
      </c>
      <c r="E89" s="7" t="s">
        <v>18</v>
      </c>
      <c r="F89" s="7" t="s">
        <v>5</v>
      </c>
      <c r="G89" s="7" t="s">
        <v>237</v>
      </c>
      <c r="H89" s="8">
        <v>45</v>
      </c>
    </row>
    <row r="90" spans="1:11" s="2" customFormat="1" ht="10.5">
      <c r="A90" s="5">
        <v>46043</v>
      </c>
      <c r="B90" s="24">
        <v>0.54166666666666663</v>
      </c>
      <c r="C90" s="23" t="str">
        <f t="shared" si="1"/>
        <v>5:00 PM</v>
      </c>
      <c r="D90" s="11" t="s">
        <v>259</v>
      </c>
      <c r="E90" s="7" t="s">
        <v>18</v>
      </c>
      <c r="F90" s="7" t="s">
        <v>5</v>
      </c>
      <c r="G90" s="7" t="s">
        <v>19</v>
      </c>
      <c r="H90" s="8">
        <v>65</v>
      </c>
    </row>
    <row r="91" spans="1:11" s="2" customFormat="1" ht="10.5">
      <c r="A91" s="5">
        <v>46043</v>
      </c>
      <c r="B91" s="24">
        <v>0.54166666666666663</v>
      </c>
      <c r="C91" s="23" t="str">
        <f t="shared" si="1"/>
        <v>5:00 PM</v>
      </c>
      <c r="D91" s="11" t="s">
        <v>260</v>
      </c>
      <c r="E91" s="7" t="s">
        <v>9</v>
      </c>
      <c r="F91" s="7" t="s">
        <v>10</v>
      </c>
      <c r="G91" s="7" t="s">
        <v>326</v>
      </c>
      <c r="H91" s="8">
        <v>36</v>
      </c>
    </row>
    <row r="92" spans="1:11" s="2" customFormat="1" ht="10.5">
      <c r="A92" s="5">
        <v>46043</v>
      </c>
      <c r="B92" s="24">
        <v>0.54166666666666663</v>
      </c>
      <c r="C92" s="23" t="str">
        <f t="shared" si="1"/>
        <v>5:00 PM</v>
      </c>
      <c r="D92" s="11" t="s">
        <v>261</v>
      </c>
      <c r="E92" s="7" t="s">
        <v>14</v>
      </c>
      <c r="F92" s="7" t="s">
        <v>5</v>
      </c>
      <c r="G92" s="7" t="s">
        <v>205</v>
      </c>
      <c r="H92" s="8">
        <v>19</v>
      </c>
    </row>
    <row r="93" spans="1:11" s="2" customFormat="1" ht="10.5">
      <c r="A93" s="5">
        <v>46043</v>
      </c>
      <c r="B93" s="24">
        <v>0.54166666666666663</v>
      </c>
      <c r="C93" s="23" t="str">
        <f t="shared" si="1"/>
        <v>5:00 PM</v>
      </c>
      <c r="D93" s="11" t="s">
        <v>262</v>
      </c>
      <c r="E93" s="7" t="s">
        <v>60</v>
      </c>
      <c r="F93" s="7" t="s">
        <v>61</v>
      </c>
      <c r="G93" s="7" t="s">
        <v>152</v>
      </c>
      <c r="H93" s="8">
        <v>12</v>
      </c>
    </row>
    <row r="94" spans="1:11" s="2" customFormat="1" ht="10.5">
      <c r="A94" s="5">
        <v>46043</v>
      </c>
      <c r="B94" s="24">
        <v>0.58333333333333337</v>
      </c>
      <c r="C94" s="23" t="str">
        <f t="shared" si="1"/>
        <v>5:00 PM</v>
      </c>
      <c r="D94" s="11" t="s">
        <v>263</v>
      </c>
      <c r="E94" s="7" t="s">
        <v>31</v>
      </c>
      <c r="F94" s="7" t="s">
        <v>23</v>
      </c>
      <c r="G94" s="7" t="s">
        <v>118</v>
      </c>
      <c r="H94" s="8">
        <v>32</v>
      </c>
    </row>
    <row r="95" spans="1:11" s="2" customFormat="1" ht="10.5">
      <c r="A95" s="5">
        <v>46043</v>
      </c>
      <c r="B95" s="24">
        <v>0.58333333333333337</v>
      </c>
      <c r="C95" s="23" t="str">
        <f t="shared" si="1"/>
        <v>5:00 PM</v>
      </c>
      <c r="D95" s="11" t="s">
        <v>264</v>
      </c>
      <c r="E95" s="7" t="s">
        <v>27</v>
      </c>
      <c r="F95" s="7" t="s">
        <v>23</v>
      </c>
      <c r="G95" s="7" t="s">
        <v>28</v>
      </c>
      <c r="H95" s="8">
        <v>11</v>
      </c>
    </row>
    <row r="96" spans="1:11" s="2" customFormat="1" ht="10.5">
      <c r="A96" s="5">
        <v>46043</v>
      </c>
      <c r="B96" s="24">
        <v>0.625</v>
      </c>
      <c r="C96" s="23" t="str">
        <f t="shared" si="1"/>
        <v>5:00 PM</v>
      </c>
      <c r="D96" s="11" t="s">
        <v>265</v>
      </c>
      <c r="E96" s="7" t="s">
        <v>133</v>
      </c>
      <c r="F96" s="7" t="s">
        <v>134</v>
      </c>
      <c r="G96" s="7" t="s">
        <v>242</v>
      </c>
      <c r="H96" s="8">
        <v>24</v>
      </c>
    </row>
    <row r="97" spans="1:8" s="2" customFormat="1" ht="10.5">
      <c r="A97" s="5">
        <v>46044</v>
      </c>
      <c r="B97" s="23">
        <v>0.33333333333333331</v>
      </c>
      <c r="C97" s="23" t="str">
        <f t="shared" si="1"/>
        <v>12:00 PM</v>
      </c>
      <c r="D97" s="10" t="s">
        <v>266</v>
      </c>
      <c r="E97" s="2" t="s">
        <v>149</v>
      </c>
      <c r="F97" s="2" t="s">
        <v>212</v>
      </c>
      <c r="G97" s="2" t="s">
        <v>251</v>
      </c>
      <c r="H97" s="6">
        <v>19</v>
      </c>
    </row>
    <row r="98" spans="1:8" s="2" customFormat="1" ht="10.5">
      <c r="A98" s="5">
        <v>46044</v>
      </c>
      <c r="B98" s="23">
        <v>0.33333333333333331</v>
      </c>
      <c r="C98" s="23" t="str">
        <f t="shared" si="1"/>
        <v>12:00 PM</v>
      </c>
      <c r="D98" s="10" t="s">
        <v>267</v>
      </c>
      <c r="E98" s="2" t="s">
        <v>60</v>
      </c>
      <c r="F98" s="2" t="s">
        <v>61</v>
      </c>
      <c r="G98" s="2" t="s">
        <v>113</v>
      </c>
      <c r="H98" s="6">
        <v>30</v>
      </c>
    </row>
    <row r="99" spans="1:8" s="2" customFormat="1" ht="10.5">
      <c r="A99" s="5">
        <v>46044</v>
      </c>
      <c r="B99" s="23">
        <v>0.33333333333333331</v>
      </c>
      <c r="C99" s="23" t="str">
        <f t="shared" si="1"/>
        <v>12:00 PM</v>
      </c>
      <c r="D99" s="10" t="s">
        <v>268</v>
      </c>
      <c r="E99" s="2" t="s">
        <v>9</v>
      </c>
      <c r="F99" s="2" t="s">
        <v>10</v>
      </c>
      <c r="G99" s="2" t="s">
        <v>269</v>
      </c>
      <c r="H99" s="6">
        <v>62</v>
      </c>
    </row>
    <row r="100" spans="1:8" s="2" customFormat="1" ht="10.5">
      <c r="A100" s="5">
        <v>46044</v>
      </c>
      <c r="B100" s="23">
        <v>0.33333333333333331</v>
      </c>
      <c r="C100" s="23" t="str">
        <f t="shared" si="1"/>
        <v>12:00 PM</v>
      </c>
      <c r="D100" s="10" t="s">
        <v>270</v>
      </c>
      <c r="E100" s="2" t="s">
        <v>60</v>
      </c>
      <c r="F100" s="2" t="s">
        <v>61</v>
      </c>
      <c r="G100" s="2" t="s">
        <v>62</v>
      </c>
      <c r="H100" s="6">
        <v>41</v>
      </c>
    </row>
    <row r="101" spans="1:8" s="2" customFormat="1" ht="10.5">
      <c r="A101" s="5">
        <v>46044</v>
      </c>
      <c r="B101" s="23">
        <v>0.33333333333333331</v>
      </c>
      <c r="C101" s="23" t="str">
        <f t="shared" si="1"/>
        <v>12:00 PM</v>
      </c>
      <c r="D101" s="10" t="s">
        <v>271</v>
      </c>
      <c r="E101" s="2" t="s">
        <v>9</v>
      </c>
      <c r="F101" s="2" t="s">
        <v>10</v>
      </c>
      <c r="G101" s="2" t="s">
        <v>11</v>
      </c>
      <c r="H101" s="6">
        <v>2</v>
      </c>
    </row>
    <row r="102" spans="1:8" s="2" customFormat="1" ht="10.5">
      <c r="A102" s="5">
        <v>46044</v>
      </c>
      <c r="B102" s="23">
        <v>0.33333333333333331</v>
      </c>
      <c r="C102" s="23" t="str">
        <f t="shared" si="1"/>
        <v>12:00 PM</v>
      </c>
      <c r="D102" s="10" t="s">
        <v>272</v>
      </c>
      <c r="E102" s="2" t="s">
        <v>18</v>
      </c>
      <c r="F102" s="2" t="s">
        <v>5</v>
      </c>
      <c r="G102" s="2" t="s">
        <v>327</v>
      </c>
      <c r="H102" s="6">
        <v>50</v>
      </c>
    </row>
    <row r="103" spans="1:8" s="2" customFormat="1" ht="10.5">
      <c r="A103" s="5">
        <v>46044</v>
      </c>
      <c r="B103" s="23">
        <v>0.33333333333333331</v>
      </c>
      <c r="C103" s="23" t="str">
        <f t="shared" si="1"/>
        <v>12:00 PM</v>
      </c>
      <c r="D103" s="10" t="s">
        <v>273</v>
      </c>
      <c r="E103" s="2" t="s">
        <v>88</v>
      </c>
      <c r="F103" s="2" t="s">
        <v>5</v>
      </c>
      <c r="G103" s="2" t="s">
        <v>185</v>
      </c>
      <c r="H103" s="6">
        <v>29</v>
      </c>
    </row>
    <row r="104" spans="1:8" s="2" customFormat="1" ht="10.5">
      <c r="A104" s="5">
        <v>46044</v>
      </c>
      <c r="B104" s="23">
        <v>0.33333333333333331</v>
      </c>
      <c r="C104" s="23" t="str">
        <f t="shared" si="1"/>
        <v>12:00 PM</v>
      </c>
      <c r="D104" s="10" t="s">
        <v>274</v>
      </c>
      <c r="E104" s="2" t="s">
        <v>9</v>
      </c>
      <c r="F104" s="2" t="s">
        <v>10</v>
      </c>
      <c r="G104" s="2" t="s">
        <v>275</v>
      </c>
      <c r="H104" s="6">
        <v>13</v>
      </c>
    </row>
    <row r="105" spans="1:8" s="2" customFormat="1" ht="10.5">
      <c r="A105" s="5">
        <v>46044</v>
      </c>
      <c r="B105" s="23">
        <v>0.35416666666666669</v>
      </c>
      <c r="C105" s="23" t="str">
        <f t="shared" si="1"/>
        <v>12:00 PM</v>
      </c>
      <c r="D105" s="10" t="s">
        <v>276</v>
      </c>
      <c r="E105" s="2" t="s">
        <v>27</v>
      </c>
      <c r="F105" s="2" t="s">
        <v>23</v>
      </c>
      <c r="G105" s="2" t="s">
        <v>277</v>
      </c>
      <c r="H105" s="6">
        <v>62</v>
      </c>
    </row>
    <row r="106" spans="1:8" s="2" customFormat="1" ht="10.5">
      <c r="A106" s="5">
        <v>46044</v>
      </c>
      <c r="B106" s="23">
        <v>0.35416666666666669</v>
      </c>
      <c r="C106" s="23" t="str">
        <f t="shared" si="1"/>
        <v>12:00 PM</v>
      </c>
      <c r="D106" s="10" t="s">
        <v>278</v>
      </c>
      <c r="E106" s="2" t="s">
        <v>27</v>
      </c>
      <c r="F106" s="2" t="s">
        <v>23</v>
      </c>
      <c r="G106" s="2" t="s">
        <v>28</v>
      </c>
      <c r="H106" s="6">
        <v>34</v>
      </c>
    </row>
    <row r="107" spans="1:8" s="2" customFormat="1" ht="10.5">
      <c r="A107" s="5">
        <v>46044</v>
      </c>
      <c r="B107" s="23">
        <v>0.35416666666666669</v>
      </c>
      <c r="C107" s="23" t="str">
        <f t="shared" si="1"/>
        <v>12:00 PM</v>
      </c>
      <c r="D107" s="10" t="s">
        <v>279</v>
      </c>
      <c r="E107" s="2" t="s">
        <v>18</v>
      </c>
      <c r="F107" s="2" t="s">
        <v>5</v>
      </c>
      <c r="G107" s="2" t="s">
        <v>237</v>
      </c>
      <c r="H107" s="6">
        <v>9</v>
      </c>
    </row>
    <row r="108" spans="1:8" s="2" customFormat="1" ht="10.5">
      <c r="A108" s="5">
        <v>46044</v>
      </c>
      <c r="B108" s="23">
        <v>0.375</v>
      </c>
      <c r="C108" s="23" t="str">
        <f t="shared" si="1"/>
        <v>12:00 PM</v>
      </c>
      <c r="D108" s="10" t="s">
        <v>280</v>
      </c>
      <c r="E108" s="2" t="s">
        <v>133</v>
      </c>
      <c r="F108" s="2" t="s">
        <v>134</v>
      </c>
      <c r="G108" s="2" t="s">
        <v>328</v>
      </c>
      <c r="H108" s="6">
        <v>58</v>
      </c>
    </row>
    <row r="109" spans="1:8" s="2" customFormat="1" ht="10.5">
      <c r="A109" s="5">
        <v>46044</v>
      </c>
      <c r="B109" s="23">
        <v>0.375</v>
      </c>
      <c r="C109" s="23" t="str">
        <f t="shared" si="1"/>
        <v>12:00 PM</v>
      </c>
      <c r="D109" s="10" t="s">
        <v>281</v>
      </c>
      <c r="E109" s="2" t="s">
        <v>31</v>
      </c>
      <c r="F109" s="2" t="s">
        <v>23</v>
      </c>
      <c r="G109" s="2" t="s">
        <v>118</v>
      </c>
      <c r="H109" s="6">
        <v>65</v>
      </c>
    </row>
    <row r="110" spans="1:8" s="2" customFormat="1" ht="10.5">
      <c r="A110" s="5">
        <v>46044</v>
      </c>
      <c r="B110" s="23">
        <v>0.375</v>
      </c>
      <c r="C110" s="23" t="str">
        <f t="shared" si="1"/>
        <v>12:00 PM</v>
      </c>
      <c r="D110" s="10" t="s">
        <v>282</v>
      </c>
      <c r="E110" s="2" t="s">
        <v>47</v>
      </c>
      <c r="F110" s="2" t="s">
        <v>5</v>
      </c>
      <c r="G110" s="2" t="s">
        <v>329</v>
      </c>
      <c r="H110" s="6">
        <v>30</v>
      </c>
    </row>
    <row r="111" spans="1:8" s="2" customFormat="1" ht="10.5">
      <c r="A111" s="5">
        <v>46044</v>
      </c>
      <c r="B111" s="24">
        <v>0.54166666666666663</v>
      </c>
      <c r="C111" s="23" t="str">
        <f t="shared" si="1"/>
        <v>5:00 PM</v>
      </c>
      <c r="D111" s="11" t="s">
        <v>283</v>
      </c>
      <c r="E111" s="7" t="s">
        <v>133</v>
      </c>
      <c r="F111" s="7" t="s">
        <v>134</v>
      </c>
      <c r="G111" s="7" t="s">
        <v>330</v>
      </c>
      <c r="H111" s="8">
        <v>37</v>
      </c>
    </row>
    <row r="112" spans="1:8" s="2" customFormat="1" ht="10.5">
      <c r="A112" s="5">
        <v>46044</v>
      </c>
      <c r="B112" s="24">
        <v>0.54166666666666663</v>
      </c>
      <c r="C112" s="23" t="str">
        <f t="shared" si="1"/>
        <v>5:00 PM</v>
      </c>
      <c r="D112" s="11" t="s">
        <v>284</v>
      </c>
      <c r="E112" s="7" t="s">
        <v>88</v>
      </c>
      <c r="F112" s="7" t="s">
        <v>5</v>
      </c>
      <c r="G112" s="7" t="s">
        <v>89</v>
      </c>
      <c r="H112" s="8">
        <v>20</v>
      </c>
    </row>
    <row r="113" spans="1:8" s="2" customFormat="1" ht="10.5">
      <c r="A113" s="5">
        <v>46044</v>
      </c>
      <c r="B113" s="24">
        <v>0.54166666666666663</v>
      </c>
      <c r="C113" s="23" t="str">
        <f t="shared" si="1"/>
        <v>5:00 PM</v>
      </c>
      <c r="D113" s="11" t="s">
        <v>285</v>
      </c>
      <c r="E113" s="7" t="s">
        <v>18</v>
      </c>
      <c r="F113" s="7" t="s">
        <v>5</v>
      </c>
      <c r="G113" s="7" t="s">
        <v>237</v>
      </c>
      <c r="H113" s="8">
        <v>32</v>
      </c>
    </row>
    <row r="114" spans="1:8" s="2" customFormat="1" ht="10.5">
      <c r="A114" s="5">
        <v>46044</v>
      </c>
      <c r="B114" s="24">
        <v>0.54166666666666663</v>
      </c>
      <c r="C114" s="23" t="str">
        <f t="shared" si="1"/>
        <v>5:00 PM</v>
      </c>
      <c r="D114" s="11" t="s">
        <v>286</v>
      </c>
      <c r="E114" s="7" t="s">
        <v>149</v>
      </c>
      <c r="F114" s="7" t="s">
        <v>212</v>
      </c>
      <c r="G114" s="7" t="s">
        <v>155</v>
      </c>
      <c r="H114" s="8">
        <v>19</v>
      </c>
    </row>
    <row r="115" spans="1:8" s="2" customFormat="1" ht="10.5">
      <c r="A115" s="5">
        <v>46044</v>
      </c>
      <c r="B115" s="24">
        <v>0.54166666666666663</v>
      </c>
      <c r="C115" s="23" t="str">
        <f t="shared" si="1"/>
        <v>5:00 PM</v>
      </c>
      <c r="D115" s="11" t="s">
        <v>287</v>
      </c>
      <c r="E115" s="7" t="s">
        <v>22</v>
      </c>
      <c r="F115" s="7" t="s">
        <v>23</v>
      </c>
      <c r="G115" s="7" t="s">
        <v>325</v>
      </c>
      <c r="H115" s="8">
        <v>23</v>
      </c>
    </row>
    <row r="116" spans="1:8" s="2" customFormat="1" ht="10.5">
      <c r="A116" s="5">
        <v>46044</v>
      </c>
      <c r="B116" s="24">
        <v>0.54166666666666663</v>
      </c>
      <c r="C116" s="23" t="str">
        <f t="shared" si="1"/>
        <v>5:00 PM</v>
      </c>
      <c r="D116" s="11" t="s">
        <v>288</v>
      </c>
      <c r="E116" s="7" t="s">
        <v>18</v>
      </c>
      <c r="F116" s="7" t="s">
        <v>5</v>
      </c>
      <c r="G116" s="7" t="s">
        <v>19</v>
      </c>
      <c r="H116" s="8">
        <v>15</v>
      </c>
    </row>
    <row r="117" spans="1:8" s="2" customFormat="1" ht="10.5">
      <c r="A117" s="5">
        <v>46044</v>
      </c>
      <c r="B117" s="24">
        <v>0.54166666666666663</v>
      </c>
      <c r="C117" s="23" t="str">
        <f t="shared" si="1"/>
        <v>5:00 PM</v>
      </c>
      <c r="D117" s="11" t="s">
        <v>289</v>
      </c>
      <c r="E117" s="7" t="s">
        <v>60</v>
      </c>
      <c r="F117" s="7" t="s">
        <v>61</v>
      </c>
      <c r="G117" s="7" t="s">
        <v>113</v>
      </c>
      <c r="H117" s="8">
        <v>24</v>
      </c>
    </row>
    <row r="118" spans="1:8" s="2" customFormat="1" ht="10.5">
      <c r="A118" s="5">
        <v>46044</v>
      </c>
      <c r="B118" s="24">
        <v>0.54166666666666663</v>
      </c>
      <c r="C118" s="23" t="str">
        <f t="shared" si="1"/>
        <v>5:00 PM</v>
      </c>
      <c r="D118" s="11" t="s">
        <v>290</v>
      </c>
      <c r="E118" s="7" t="s">
        <v>9</v>
      </c>
      <c r="F118" s="7" t="s">
        <v>10</v>
      </c>
      <c r="G118" s="7" t="s">
        <v>269</v>
      </c>
      <c r="H118" s="8">
        <v>17</v>
      </c>
    </row>
    <row r="119" spans="1:8" s="2" customFormat="1" ht="10.5">
      <c r="A119" s="5">
        <v>46044</v>
      </c>
      <c r="B119" s="24">
        <v>0.54166666666666663</v>
      </c>
      <c r="C119" s="23" t="str">
        <f t="shared" si="1"/>
        <v>5:00 PM</v>
      </c>
      <c r="D119" s="11" t="s">
        <v>291</v>
      </c>
      <c r="E119" s="7" t="s">
        <v>60</v>
      </c>
      <c r="F119" s="7" t="s">
        <v>61</v>
      </c>
      <c r="G119" s="7" t="s">
        <v>62</v>
      </c>
      <c r="H119" s="8">
        <v>19</v>
      </c>
    </row>
    <row r="120" spans="1:8" s="2" customFormat="1" ht="10.5">
      <c r="A120" s="5">
        <v>46044</v>
      </c>
      <c r="B120" s="24">
        <v>0.58333333333333337</v>
      </c>
      <c r="C120" s="23" t="str">
        <f t="shared" si="1"/>
        <v>5:00 PM</v>
      </c>
      <c r="D120" s="11" t="s">
        <v>292</v>
      </c>
      <c r="E120" s="7" t="s">
        <v>27</v>
      </c>
      <c r="F120" s="7" t="s">
        <v>23</v>
      </c>
      <c r="G120" s="7" t="s">
        <v>293</v>
      </c>
      <c r="H120" s="8">
        <v>63</v>
      </c>
    </row>
    <row r="121" spans="1:8" s="2" customFormat="1" ht="10.5">
      <c r="A121" s="5">
        <v>46044</v>
      </c>
      <c r="B121" s="24">
        <v>0.58333333333333337</v>
      </c>
      <c r="C121" s="23" t="str">
        <f t="shared" si="1"/>
        <v>5:00 PM</v>
      </c>
      <c r="D121" s="11" t="s">
        <v>294</v>
      </c>
      <c r="E121" s="7" t="s">
        <v>27</v>
      </c>
      <c r="F121" s="7" t="s">
        <v>23</v>
      </c>
      <c r="G121" s="7" t="s">
        <v>28</v>
      </c>
      <c r="H121" s="8">
        <v>24</v>
      </c>
    </row>
    <row r="122" spans="1:8" s="2" customFormat="1" ht="10.5">
      <c r="A122" s="5">
        <v>46045</v>
      </c>
      <c r="B122" s="23">
        <v>0.33333333333333331</v>
      </c>
      <c r="C122" s="23" t="str">
        <f t="shared" si="1"/>
        <v>12:00 PM</v>
      </c>
      <c r="D122" s="10" t="s">
        <v>295</v>
      </c>
      <c r="E122" s="2" t="s">
        <v>9</v>
      </c>
      <c r="F122" s="2" t="s">
        <v>10</v>
      </c>
      <c r="G122" s="2" t="s">
        <v>11</v>
      </c>
      <c r="H122" s="6">
        <v>31</v>
      </c>
    </row>
    <row r="123" spans="1:8" s="2" customFormat="1" ht="10.5">
      <c r="A123" s="5">
        <v>46045</v>
      </c>
      <c r="B123" s="23">
        <v>0.33333333333333331</v>
      </c>
      <c r="C123" s="23" t="str">
        <f t="shared" si="1"/>
        <v>12:00 PM</v>
      </c>
      <c r="D123" s="10" t="s">
        <v>296</v>
      </c>
      <c r="E123" s="2" t="s">
        <v>9</v>
      </c>
      <c r="F123" s="2" t="s">
        <v>10</v>
      </c>
      <c r="G123" s="2" t="s">
        <v>297</v>
      </c>
      <c r="H123" s="6">
        <v>14</v>
      </c>
    </row>
    <row r="124" spans="1:8" s="2" customFormat="1" ht="10.5">
      <c r="A124" s="5">
        <v>46045</v>
      </c>
      <c r="B124" s="23">
        <v>0.33333333333333331</v>
      </c>
      <c r="C124" s="23" t="str">
        <f t="shared" si="1"/>
        <v>12:00 PM</v>
      </c>
      <c r="D124" s="10" t="s">
        <v>298</v>
      </c>
      <c r="E124" s="2" t="s">
        <v>9</v>
      </c>
      <c r="F124" s="2" t="s">
        <v>10</v>
      </c>
      <c r="G124" s="2" t="s">
        <v>116</v>
      </c>
      <c r="H124" s="6">
        <v>16</v>
      </c>
    </row>
    <row r="125" spans="1:8" s="2" customFormat="1" ht="10.5">
      <c r="A125" s="5">
        <v>46045</v>
      </c>
      <c r="B125" s="23">
        <v>0.33333333333333331</v>
      </c>
      <c r="C125" s="23" t="str">
        <f t="shared" si="1"/>
        <v>12:00 PM</v>
      </c>
      <c r="D125" s="10" t="s">
        <v>299</v>
      </c>
      <c r="E125" s="2" t="s">
        <v>9</v>
      </c>
      <c r="F125" s="2" t="s">
        <v>10</v>
      </c>
      <c r="G125" s="2" t="s">
        <v>11</v>
      </c>
      <c r="H125" s="6">
        <v>32</v>
      </c>
    </row>
    <row r="126" spans="1:8" s="2" customFormat="1" ht="10.5">
      <c r="A126" s="5">
        <v>46045</v>
      </c>
      <c r="B126" s="23">
        <v>0.33333333333333331</v>
      </c>
      <c r="C126" s="23" t="str">
        <f t="shared" si="1"/>
        <v>12:00 PM</v>
      </c>
      <c r="D126" s="10" t="s">
        <v>300</v>
      </c>
      <c r="E126" s="2" t="s">
        <v>149</v>
      </c>
      <c r="F126" s="2" t="s">
        <v>212</v>
      </c>
      <c r="G126" s="2" t="s">
        <v>213</v>
      </c>
      <c r="H126" s="6">
        <v>32</v>
      </c>
    </row>
    <row r="127" spans="1:8" s="2" customFormat="1" ht="10.5">
      <c r="A127" s="5">
        <v>46045</v>
      </c>
      <c r="B127" s="23">
        <v>0.375</v>
      </c>
      <c r="C127" s="23" t="str">
        <f t="shared" ref="C127:C143" si="2">IF(B127="","",IF(B127&lt;0.5,"12:00 PM","5:00 PM"))</f>
        <v>12:00 PM</v>
      </c>
      <c r="D127" s="10" t="s">
        <v>301</v>
      </c>
      <c r="E127" s="2" t="s">
        <v>133</v>
      </c>
      <c r="F127" s="2" t="s">
        <v>134</v>
      </c>
      <c r="G127" s="2" t="s">
        <v>331</v>
      </c>
      <c r="H127" s="6">
        <v>19</v>
      </c>
    </row>
    <row r="128" spans="1:8" s="2" customFormat="1" ht="10.5">
      <c r="A128" s="5">
        <v>46045</v>
      </c>
      <c r="B128" s="23">
        <v>0.375</v>
      </c>
      <c r="C128" s="23" t="str">
        <f t="shared" si="2"/>
        <v>12:00 PM</v>
      </c>
      <c r="D128" s="10" t="s">
        <v>302</v>
      </c>
      <c r="E128" s="2" t="s">
        <v>27</v>
      </c>
      <c r="F128" s="2" t="s">
        <v>23</v>
      </c>
      <c r="G128" s="2" t="s">
        <v>303</v>
      </c>
      <c r="H128" s="6">
        <v>24</v>
      </c>
    </row>
    <row r="129" spans="1:8" s="2" customFormat="1" ht="10.5">
      <c r="A129" s="5">
        <v>46045</v>
      </c>
      <c r="B129" s="23">
        <v>0.375</v>
      </c>
      <c r="C129" s="23" t="str">
        <f t="shared" si="2"/>
        <v>12:00 PM</v>
      </c>
      <c r="D129" s="10" t="s">
        <v>304</v>
      </c>
      <c r="E129" s="2" t="s">
        <v>27</v>
      </c>
      <c r="F129" s="2" t="s">
        <v>23</v>
      </c>
      <c r="G129" s="2" t="s">
        <v>305</v>
      </c>
      <c r="H129" s="6">
        <v>3</v>
      </c>
    </row>
    <row r="130" spans="1:8" s="2" customFormat="1" ht="10.5">
      <c r="A130" s="5">
        <v>46045</v>
      </c>
      <c r="B130" s="23">
        <v>0.39583333333333331</v>
      </c>
      <c r="C130" s="23" t="str">
        <f t="shared" si="2"/>
        <v>12:00 PM</v>
      </c>
      <c r="D130" s="10" t="s">
        <v>306</v>
      </c>
      <c r="E130" s="2" t="s">
        <v>14</v>
      </c>
      <c r="F130" s="2" t="s">
        <v>5</v>
      </c>
      <c r="G130" s="2" t="s">
        <v>307</v>
      </c>
      <c r="H130" s="6">
        <v>5</v>
      </c>
    </row>
    <row r="131" spans="1:8" s="2" customFormat="1" ht="10.5">
      <c r="A131" s="5">
        <v>46045</v>
      </c>
      <c r="B131" s="24">
        <v>0.54166666666666663</v>
      </c>
      <c r="C131" s="23" t="str">
        <f t="shared" si="2"/>
        <v>5:00 PM</v>
      </c>
      <c r="D131" s="11" t="s">
        <v>308</v>
      </c>
      <c r="E131" s="7" t="s">
        <v>133</v>
      </c>
      <c r="F131" s="7" t="s">
        <v>134</v>
      </c>
      <c r="G131" s="7" t="s">
        <v>309</v>
      </c>
      <c r="H131" s="8">
        <v>4</v>
      </c>
    </row>
    <row r="132" spans="1:8" s="2" customFormat="1" ht="10.5">
      <c r="A132" s="5">
        <v>46045</v>
      </c>
      <c r="B132" s="24">
        <v>0.54166666666666663</v>
      </c>
      <c r="C132" s="23" t="str">
        <f t="shared" si="2"/>
        <v>5:00 PM</v>
      </c>
      <c r="D132" s="11" t="s">
        <v>310</v>
      </c>
      <c r="E132" s="7" t="s">
        <v>149</v>
      </c>
      <c r="F132" s="7" t="s">
        <v>212</v>
      </c>
      <c r="G132" s="7" t="s">
        <v>311</v>
      </c>
      <c r="H132" s="8">
        <v>27</v>
      </c>
    </row>
    <row r="133" spans="1:8" s="2" customFormat="1" ht="10.5">
      <c r="A133" s="5">
        <v>46045</v>
      </c>
      <c r="B133" s="24">
        <v>0.54166666666666663</v>
      </c>
      <c r="C133" s="23" t="str">
        <f t="shared" si="2"/>
        <v>5:00 PM</v>
      </c>
      <c r="D133" s="11" t="s">
        <v>312</v>
      </c>
      <c r="E133" s="7" t="s">
        <v>14</v>
      </c>
      <c r="F133" s="7" t="s">
        <v>5</v>
      </c>
      <c r="G133" s="7" t="s">
        <v>244</v>
      </c>
      <c r="H133" s="8">
        <v>33</v>
      </c>
    </row>
    <row r="134" spans="1:8" s="2" customFormat="1" ht="10.5">
      <c r="A134" s="5">
        <v>46045</v>
      </c>
      <c r="B134" s="24">
        <v>0.625</v>
      </c>
      <c r="C134" s="23" t="str">
        <f t="shared" si="2"/>
        <v>5:00 PM</v>
      </c>
      <c r="D134" s="11" t="s">
        <v>313</v>
      </c>
      <c r="E134" s="7" t="s">
        <v>133</v>
      </c>
      <c r="F134" s="7" t="s">
        <v>134</v>
      </c>
      <c r="G134" s="7" t="s">
        <v>309</v>
      </c>
      <c r="H134" s="8">
        <v>17</v>
      </c>
    </row>
    <row r="135" spans="1:8" s="2" customFormat="1" ht="10.5">
      <c r="A135" s="5">
        <v>46046</v>
      </c>
      <c r="B135" s="23">
        <v>0.33333333333333331</v>
      </c>
      <c r="C135" s="23" t="str">
        <f t="shared" si="2"/>
        <v>12:00 PM</v>
      </c>
      <c r="D135" s="10" t="s">
        <v>314</v>
      </c>
      <c r="E135" s="2" t="s">
        <v>9</v>
      </c>
      <c r="F135" s="2" t="s">
        <v>10</v>
      </c>
      <c r="G135" s="2" t="s">
        <v>315</v>
      </c>
      <c r="H135" s="6">
        <v>30</v>
      </c>
    </row>
    <row r="136" spans="1:8" s="2" customFormat="1" ht="10.5">
      <c r="A136" s="5">
        <v>46046</v>
      </c>
      <c r="B136" s="24">
        <v>0.54166666666666663</v>
      </c>
      <c r="C136" s="23" t="str">
        <f t="shared" si="2"/>
        <v>5:00 PM</v>
      </c>
      <c r="D136" s="11" t="s">
        <v>316</v>
      </c>
      <c r="E136" s="7" t="s">
        <v>9</v>
      </c>
      <c r="F136" s="7" t="s">
        <v>10</v>
      </c>
      <c r="G136" s="7" t="s">
        <v>315</v>
      </c>
      <c r="H136" s="8">
        <v>52</v>
      </c>
    </row>
    <row r="137" spans="1:8" s="2" customFormat="1" ht="10.5">
      <c r="A137" s="5">
        <v>46046</v>
      </c>
      <c r="B137" s="24">
        <v>0.625</v>
      </c>
      <c r="C137" s="23" t="str">
        <f t="shared" si="2"/>
        <v>5:00 PM</v>
      </c>
      <c r="D137" s="11" t="s">
        <v>317</v>
      </c>
      <c r="E137" s="7" t="s">
        <v>133</v>
      </c>
      <c r="F137" s="7" t="s">
        <v>134</v>
      </c>
      <c r="G137" s="7" t="s">
        <v>318</v>
      </c>
      <c r="H137" s="8">
        <v>5</v>
      </c>
    </row>
    <row r="138" spans="1:8" s="2" customFormat="1" ht="10.5">
      <c r="A138" s="5">
        <v>46048</v>
      </c>
      <c r="B138" s="24">
        <v>0.58333333333333337</v>
      </c>
      <c r="C138" s="23" t="str">
        <f t="shared" si="2"/>
        <v>5:00 PM</v>
      </c>
      <c r="D138" s="11" t="s">
        <v>390</v>
      </c>
      <c r="E138" s="7" t="s">
        <v>149</v>
      </c>
      <c r="F138" s="7" t="s">
        <v>212</v>
      </c>
      <c r="G138" s="7" t="s">
        <v>391</v>
      </c>
      <c r="H138" s="8">
        <v>7</v>
      </c>
    </row>
    <row r="139" spans="1:8" s="2" customFormat="1" ht="10.5">
      <c r="A139" s="5">
        <v>46050</v>
      </c>
      <c r="B139" s="23">
        <v>0.375</v>
      </c>
      <c r="C139" s="23" t="str">
        <f t="shared" si="2"/>
        <v>12:00 PM</v>
      </c>
      <c r="D139" s="10" t="s">
        <v>392</v>
      </c>
      <c r="E139" s="2" t="s">
        <v>133</v>
      </c>
      <c r="F139" s="2" t="s">
        <v>212</v>
      </c>
      <c r="G139" s="2" t="s">
        <v>393</v>
      </c>
      <c r="H139" s="6">
        <v>1</v>
      </c>
    </row>
    <row r="140" spans="1:8" s="2" customFormat="1" ht="10.5">
      <c r="A140" s="5">
        <v>46050</v>
      </c>
      <c r="B140" s="24">
        <v>0.625</v>
      </c>
      <c r="C140" s="23" t="str">
        <f t="shared" si="2"/>
        <v>5:00 PM</v>
      </c>
      <c r="D140" s="11" t="s">
        <v>394</v>
      </c>
      <c r="E140" s="7" t="s">
        <v>31</v>
      </c>
      <c r="F140" s="7" t="s">
        <v>5</v>
      </c>
      <c r="G140" s="7" t="s">
        <v>376</v>
      </c>
      <c r="H140" s="8">
        <v>2</v>
      </c>
    </row>
    <row r="141" spans="1:8" s="2" customFormat="1" ht="10.5">
      <c r="A141" s="5">
        <v>46050</v>
      </c>
      <c r="B141" s="24">
        <v>0.625</v>
      </c>
      <c r="C141" s="23" t="str">
        <f t="shared" si="2"/>
        <v>5:00 PM</v>
      </c>
      <c r="D141" s="11" t="s">
        <v>395</v>
      </c>
      <c r="E141" s="7" t="s">
        <v>133</v>
      </c>
      <c r="F141" s="7" t="s">
        <v>212</v>
      </c>
      <c r="G141" s="7" t="s">
        <v>393</v>
      </c>
      <c r="H141" s="8">
        <v>1</v>
      </c>
    </row>
    <row r="142" spans="1:8" s="2" customFormat="1" ht="10.5">
      <c r="A142" s="5">
        <v>46051</v>
      </c>
      <c r="B142" s="23">
        <v>0.33333333333333331</v>
      </c>
      <c r="C142" s="23" t="str">
        <f t="shared" si="2"/>
        <v>12:00 PM</v>
      </c>
      <c r="D142" s="10" t="s">
        <v>396</v>
      </c>
      <c r="E142" s="2" t="s">
        <v>133</v>
      </c>
      <c r="F142" s="2" t="s">
        <v>212</v>
      </c>
      <c r="G142" s="2" t="s">
        <v>397</v>
      </c>
      <c r="H142" s="6">
        <v>5</v>
      </c>
    </row>
    <row r="143" spans="1:8" s="2" customFormat="1" ht="10.5">
      <c r="A143" s="5">
        <v>46051</v>
      </c>
      <c r="B143" s="24">
        <v>0.54166666666666663</v>
      </c>
      <c r="C143" s="23" t="str">
        <f t="shared" si="2"/>
        <v>5:00 PM</v>
      </c>
      <c r="D143" s="11" t="s">
        <v>398</v>
      </c>
      <c r="E143" s="7" t="s">
        <v>133</v>
      </c>
      <c r="F143" s="7" t="s">
        <v>212</v>
      </c>
      <c r="G143" s="7" t="s">
        <v>399</v>
      </c>
      <c r="H143" s="8">
        <v>2</v>
      </c>
    </row>
    <row r="144" spans="1:8" s="2" customFormat="1">
      <c r="A144"/>
      <c r="B144" s="25"/>
      <c r="C144" s="25"/>
      <c r="D144" s="12"/>
      <c r="E144"/>
      <c r="F144"/>
      <c r="G144"/>
      <c r="H144"/>
    </row>
    <row r="145" spans="1:8" s="2" customFormat="1">
      <c r="A145"/>
      <c r="B145" s="25"/>
      <c r="C145" s="25"/>
      <c r="D145" s="12"/>
      <c r="E145"/>
      <c r="F145"/>
      <c r="G145"/>
      <c r="H145"/>
    </row>
    <row r="146" spans="1:8" s="2" customFormat="1">
      <c r="A146"/>
      <c r="B146" s="25"/>
      <c r="C146" s="25"/>
      <c r="D146" s="12"/>
      <c r="E146"/>
      <c r="F146"/>
      <c r="G146"/>
      <c r="H146"/>
    </row>
    <row r="147" spans="1:8" s="2" customFormat="1">
      <c r="A147"/>
      <c r="B147" s="25"/>
      <c r="C147" s="25"/>
      <c r="D147" s="12"/>
      <c r="E147"/>
      <c r="F147"/>
      <c r="G147"/>
      <c r="H147"/>
    </row>
    <row r="148" spans="1:8" s="2" customFormat="1">
      <c r="A148"/>
      <c r="B148" s="25"/>
      <c r="C148" s="25"/>
      <c r="D148" s="12"/>
      <c r="E148"/>
      <c r="F148"/>
      <c r="G148"/>
      <c r="H148"/>
    </row>
    <row r="149" spans="1:8" s="2" customFormat="1">
      <c r="A149"/>
      <c r="B149" s="25"/>
      <c r="C149" s="25"/>
      <c r="D149" s="12"/>
      <c r="E149"/>
      <c r="F149"/>
      <c r="G149"/>
      <c r="H149"/>
    </row>
    <row r="150" spans="1:8" s="2" customFormat="1">
      <c r="A150"/>
      <c r="B150" s="25"/>
      <c r="C150" s="25"/>
      <c r="D150" s="12"/>
      <c r="E150"/>
      <c r="F150"/>
      <c r="G150"/>
      <c r="H150"/>
    </row>
    <row r="151" spans="1:8" s="2" customFormat="1">
      <c r="A151"/>
      <c r="B151" s="25"/>
      <c r="C151" s="25"/>
      <c r="D151" s="12"/>
      <c r="E151"/>
      <c r="F151"/>
      <c r="G151"/>
      <c r="H151"/>
    </row>
    <row r="152" spans="1:8" s="2" customFormat="1">
      <c r="A152"/>
      <c r="B152" s="25"/>
      <c r="C152" s="25"/>
      <c r="D152" s="12"/>
      <c r="E152"/>
      <c r="F152"/>
      <c r="G152"/>
      <c r="H152"/>
    </row>
    <row r="153" spans="1:8" s="2" customFormat="1">
      <c r="A153"/>
      <c r="B153" s="25"/>
      <c r="C153" s="25"/>
      <c r="D153" s="12"/>
      <c r="E153"/>
      <c r="F153"/>
      <c r="G153"/>
      <c r="H1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Unscheduled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Boadilla, Joy Anne P.</dc:creator>
  <cp:lastModifiedBy>OJT</cp:lastModifiedBy>
  <dcterms:created xsi:type="dcterms:W3CDTF">2026-01-15T01:31:21Z</dcterms:created>
  <dcterms:modified xsi:type="dcterms:W3CDTF">2026-01-27T05:23:15Z</dcterms:modified>
</cp:coreProperties>
</file>